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jackpaitan/wp-cp-flink-tf-gh/flink-v1/docs/"/>
    </mc:Choice>
  </mc:AlternateContent>
  <xr:revisionPtr revIDLastSave="0" documentId="8_{28855272-5126-2449-BA86-1333C7EDAFDC}" xr6:coauthVersionLast="47" xr6:coauthVersionMax="47" xr10:uidLastSave="{00000000-0000-0000-0000-000000000000}"/>
  <bookViews>
    <workbookView xWindow="-24340" yWindow="-6780" windowWidth="28800" windowHeight="28200" xr2:uid="{00000000-000D-0000-FFFF-FFFF00000000}"/>
  </bookViews>
  <sheets>
    <sheet name="Calculadora" sheetId="1" r:id="rId1"/>
    <sheet name="Guía de opciones" sheetId="2" r:id="rId2"/>
    <sheet name="Tarifas oficiales" sheetId="3" r:id="rId3"/>
    <sheet name="Referencias" sheetId="4" r:id="rId4"/>
  </sheets>
  <definedNames>
    <definedName name="_xlnm._FilterDatabase" localSheetId="2" hidden="1">'Tarifas oficiales'!$A$3:$G$101</definedName>
    <definedName name="_xlnm.Print_Titles" localSheetId="0">Calculadora!$1:$20</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1" l="1"/>
  <c r="B33" i="1"/>
  <c r="O32" i="1"/>
  <c r="N32" i="1"/>
  <c r="M32" i="1"/>
  <c r="F32" i="1" s="1"/>
  <c r="G32" i="1" s="1"/>
  <c r="L32" i="1"/>
  <c r="K32" i="1"/>
  <c r="J32" i="1"/>
  <c r="I32" i="1"/>
  <c r="H32" i="1"/>
  <c r="E32" i="1"/>
  <c r="O31" i="1"/>
  <c r="N31" i="1"/>
  <c r="M31" i="1"/>
  <c r="J31" i="1"/>
  <c r="L31" i="1" s="1"/>
  <c r="I31" i="1"/>
  <c r="K31" i="1" s="1"/>
  <c r="H31" i="1"/>
  <c r="E31" i="1"/>
  <c r="O30" i="1"/>
  <c r="N30" i="1"/>
  <c r="M30" i="1"/>
  <c r="K30" i="1"/>
  <c r="J30" i="1"/>
  <c r="L30" i="1" s="1"/>
  <c r="I30" i="1"/>
  <c r="H30" i="1"/>
  <c r="E30" i="1"/>
  <c r="O29" i="1"/>
  <c r="N29" i="1"/>
  <c r="M29" i="1"/>
  <c r="L29" i="1"/>
  <c r="J29" i="1"/>
  <c r="I29" i="1"/>
  <c r="K29" i="1" s="1"/>
  <c r="F29" i="1" s="1"/>
  <c r="G29" i="1" s="1"/>
  <c r="H29" i="1"/>
  <c r="E29" i="1"/>
  <c r="O28" i="1"/>
  <c r="N28" i="1"/>
  <c r="M28" i="1"/>
  <c r="J28" i="1"/>
  <c r="L28" i="1" s="1"/>
  <c r="I28" i="1"/>
  <c r="K28" i="1" s="1"/>
  <c r="F28" i="1" s="1"/>
  <c r="G28" i="1" s="1"/>
  <c r="H28" i="1"/>
  <c r="E28" i="1"/>
  <c r="O27" i="1"/>
  <c r="N27" i="1"/>
  <c r="M27" i="1"/>
  <c r="L27" i="1"/>
  <c r="K27" i="1"/>
  <c r="F27" i="1" s="1"/>
  <c r="G27" i="1" s="1"/>
  <c r="J27" i="1"/>
  <c r="I27" i="1"/>
  <c r="H27" i="1"/>
  <c r="E27" i="1"/>
  <c r="O26" i="1"/>
  <c r="N26" i="1"/>
  <c r="M26" i="1"/>
  <c r="J26" i="1"/>
  <c r="L26" i="1" s="1"/>
  <c r="I26" i="1"/>
  <c r="K26" i="1" s="1"/>
  <c r="F26" i="1" s="1"/>
  <c r="G26" i="1" s="1"/>
  <c r="H26" i="1"/>
  <c r="E26" i="1"/>
  <c r="O25" i="1"/>
  <c r="N25" i="1"/>
  <c r="M25" i="1"/>
  <c r="J25" i="1"/>
  <c r="L25" i="1" s="1"/>
  <c r="I25" i="1"/>
  <c r="K25" i="1" s="1"/>
  <c r="F25" i="1" s="1"/>
  <c r="G25" i="1" s="1"/>
  <c r="H25" i="1"/>
  <c r="E25" i="1"/>
  <c r="O24" i="1"/>
  <c r="N24" i="1"/>
  <c r="M24" i="1"/>
  <c r="L24" i="1"/>
  <c r="F24" i="1" s="1"/>
  <c r="G24" i="1" s="1"/>
  <c r="K24" i="1"/>
  <c r="J24" i="1"/>
  <c r="I24" i="1"/>
  <c r="H24" i="1"/>
  <c r="E24" i="1"/>
  <c r="O23" i="1"/>
  <c r="N23" i="1"/>
  <c r="M23" i="1"/>
  <c r="J23" i="1"/>
  <c r="L23" i="1" s="1"/>
  <c r="I23" i="1"/>
  <c r="K23" i="1" s="1"/>
  <c r="F23" i="1" s="1"/>
  <c r="G23" i="1" s="1"/>
  <c r="H23" i="1"/>
  <c r="E23" i="1"/>
  <c r="O22" i="1"/>
  <c r="N22" i="1"/>
  <c r="M22" i="1"/>
  <c r="J22" i="1"/>
  <c r="L22" i="1" s="1"/>
  <c r="I22" i="1"/>
  <c r="K22" i="1" s="1"/>
  <c r="E22" i="1"/>
  <c r="N21" i="1"/>
  <c r="M21" i="1"/>
  <c r="J21" i="1"/>
  <c r="L21" i="1" s="1"/>
  <c r="I21" i="1"/>
  <c r="K21" i="1" s="1"/>
  <c r="E21" i="1"/>
  <c r="O21" i="1" s="1"/>
  <c r="AA2" i="1"/>
  <c r="AA1" i="1"/>
  <c r="M33" i="1" l="1"/>
  <c r="C15" i="1"/>
  <c r="H22" i="1"/>
  <c r="N33" i="1"/>
  <c r="O33" i="1"/>
  <c r="C16" i="1"/>
  <c r="K33" i="1"/>
  <c r="C14" i="1"/>
  <c r="F21" i="1"/>
  <c r="F22" i="1"/>
  <c r="G22" i="1" s="1"/>
  <c r="L33" i="1"/>
  <c r="F31" i="1"/>
  <c r="G31" i="1" s="1"/>
  <c r="F30" i="1"/>
  <c r="G30" i="1" s="1"/>
  <c r="H21" i="1"/>
  <c r="C17" i="1" l="1"/>
  <c r="F33" i="1"/>
  <c r="G21" i="1"/>
  <c r="G3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Calculadora Confluent</author>
  </authors>
  <commentList>
    <comment ref="A5" authorId="0" shapeId="0" xr:uid="{00000000-0006-0000-0000-000001000000}">
      <text>
        <r>
          <rPr>
            <sz val="11"/>
            <color rgb="FF000000"/>
            <rFont val="Calibri"/>
            <family val="2"/>
          </rPr>
          <t xml:space="preserve">Horas / mes
</t>
        </r>
        <r>
          <rPr>
            <sz val="11"/>
            <color rgb="FF000000"/>
            <rFont val="Calibri"/>
            <family val="2"/>
          </rPr>
          <t xml:space="preserve">
</t>
        </r>
        <r>
          <rPr>
            <sz val="11"/>
            <color rgb="FF000000"/>
            <rFont val="Calibri"/>
            <family val="2"/>
          </rPr>
          <t xml:space="preserve">Es el tiempo que Confluent considera el conector encendido.
</t>
        </r>
        <r>
          <rPr>
            <sz val="11"/>
            <color rgb="FF000000"/>
            <rFont val="Calibri"/>
            <family val="2"/>
          </rPr>
          <t xml:space="preserve">
</t>
        </r>
        <r>
          <rPr>
            <sz val="11"/>
            <color rgb="FF000000"/>
            <rFont val="Calibri"/>
            <family val="2"/>
          </rPr>
          <t>Si la integración opera todo el mes, deja 730 (promedio 24</t>
        </r>
        <r>
          <rPr>
            <sz val="11"/>
            <color rgb="FF000000"/>
            <rFont val="Calibri"/>
            <family val="2"/>
          </rPr>
          <t>×</t>
        </r>
        <r>
          <rPr>
            <sz val="11"/>
            <color rgb="FF000000"/>
            <rFont val="Calibri"/>
            <family val="2"/>
          </rPr>
          <t xml:space="preserve">365/12).
</t>
        </r>
        <r>
          <rPr>
            <sz val="11"/>
            <color rgb="FF000000"/>
            <rFont val="Calibri"/>
            <family val="2"/>
          </rPr>
          <t xml:space="preserve">Bajarlo solo tiene sentido si el conector estará apagado parte del mes; ojo: un conector pausado puede seguir facturando hasta que se elimine.
</t>
        </r>
        <r>
          <rPr>
            <sz val="11"/>
            <color rgb="FF000000"/>
            <rFont val="Calibri"/>
            <family val="2"/>
          </rPr>
          <t xml:space="preserve">
</t>
        </r>
        <r>
          <rPr>
            <sz val="11"/>
            <color rgb="FF000000"/>
            <rFont val="Calibri"/>
            <family val="2"/>
          </rPr>
          <t>Detalle completo: hoja «Guía de opciones».</t>
        </r>
      </text>
    </comment>
    <comment ref="A6" authorId="0" shapeId="0" xr:uid="{00000000-0006-0000-0000-000002000000}">
      <text>
        <r>
          <rPr>
            <sz val="11"/>
            <color theme="1"/>
            <rFont val="Calibri"/>
            <family val="2"/>
            <scheme val="minor"/>
          </rPr>
          <t>Tarifa de tarea
Es el precio de «alquilar» cada unidad de trabajo del conector durante una hora.
Confluent no publica un precio único: publica un rango porque cambia por región.
• Min = escenario barato (suelo del rango)
• Media = punto medio, útil para presentaciones
• Max = escenario conservador (techo del rango)
No es un descuento. Si hay precio de contrato, usa la columna Override.
Detalle completo: hoja «Guía de opciones».</t>
        </r>
      </text>
    </comment>
    <comment ref="A7" authorId="0" shapeId="0" xr:uid="{00000000-0006-0000-0000-000003000000}">
      <text>
        <r>
          <rPr>
            <sz val="11"/>
            <color theme="1"/>
            <rFont val="Calibri"/>
            <family val="2"/>
            <scheme val="minor"/>
          </rPr>
          <t>Tipo de cluster Kafka
Es el plan del «almacén» de eventos del banco en Confluent Cloud (Basic, Standard, Enterprise o Dedicated).
No cambia el precio del conector. Sí cambia lo que se paga por cada GB que el conector escribe al cluster (escritura / ingress).
En producción del banco suele usarse Dedicated.
Detalle completo: hoja «Guía de opciones».</t>
        </r>
      </text>
    </comment>
    <comment ref="A8" authorId="0" shapeId="0" xr:uid="{00000000-0006-0000-0000-000004000000}">
      <text>
        <r>
          <rPr>
            <sz val="11"/>
            <color theme="1"/>
            <rFont val="Calibri"/>
            <family val="2"/>
            <scheme val="minor"/>
          </rPr>
          <t>Incluir escritura a Kafka
Además del conector, Confluent cobra por meter datos en el cluster (como un peaje de entrada).
Pon Sí cuando el conector es Source: lee un sistema (Event Hubs, IBM MQ, base de datos…) y escribe a topics de Confluent Cloud.
Pon No cuando es Sink: saca datos de Confluent hacia otro destino (ADLS, Snowflake…).
Detalle completo: hoja «Guía de opciones».</t>
        </r>
      </text>
    </comment>
    <comment ref="A9" authorId="0" shapeId="0" xr:uid="{00000000-0006-0000-0000-000005000000}">
      <text>
        <r>
          <rPr>
            <sz val="11"/>
            <color theme="1"/>
            <rFont val="Calibri"/>
            <family val="2"/>
            <scheme val="minor"/>
          </rPr>
          <t>Connect dedicado
Es una capacidad extra del servicio de conectores que se factura por hora cuando el cluster Kafka es Dedicated.
Es un cargo fijo del entorno (no se multiplica por cada conector de la tabla).
Pon Sí si Plataforma confirma cluster Dedicated con Connect dedicado.
Detalle completo: hoja «Guía de opciones».</t>
        </r>
      </text>
    </comment>
    <comment ref="A10" authorId="0" shapeId="0" xr:uid="{00000000-0006-0000-0000-000006000000}">
      <text>
        <r>
          <rPr>
            <sz val="11"/>
            <color theme="1"/>
            <rFont val="Calibri"/>
            <family val="2"/>
            <scheme val="minor"/>
          </rPr>
          <t>PrivateLink
Es una conexión de red privada entre el banco y Confluent, sin salir a internet público.
Tiene un recargo por cada tarea y hora.
Pon Sí solo si el diseño de red del banco usa PrivateLink hacia los conectores.
Detalle completo: hoja «Guía de opciones».</t>
        </r>
      </text>
    </comment>
    <comment ref="A11" authorId="0" shapeId="0" xr:uid="{00000000-0006-0000-0000-000007000000}">
      <text>
        <r>
          <rPr>
            <sz val="11"/>
            <color theme="1"/>
            <rFont val="Calibri"/>
            <family val="2"/>
            <scheme val="minor"/>
          </rPr>
          <t>Custom SMT
SMT = transformaciones de datos dentro del conector (cambiar formato, enmascarar campos, etc.).
Las transformaciones estándar no tienen este recargo.
Pon Sí solo si el conector usa transformaciones hechas a medida (plugin propio).
Detalle completo: hoja «Guía de opciones».</t>
        </r>
      </text>
    </comment>
  </commentList>
</comments>
</file>

<file path=xl/sharedStrings.xml><?xml version="1.0" encoding="utf-8"?>
<sst xmlns="http://schemas.openxmlformats.org/spreadsheetml/2006/main" count="479" uniqueCount="321">
  <si>
    <t>Calculadora de costo mensual — conectores Kafka → Confluent Cloud</t>
  </si>
  <si>
    <t>Amarillo = eliges o escribes.  Verde = se calcula solo.  Significado de cada opción: hoja «Guía de opciones» (o el comentario al pasar el cursor por el nombre).  1) Ajusta las opciones.  2) Elige el conector y rellena tareas y GB/mes.</t>
  </si>
  <si>
    <t>1. Opciones — pasa el cursor por el nombre del campo o abre la hoja «Guía de opciones»</t>
  </si>
  <si>
    <t>Horas / mes</t>
  </si>
  <si>
    <t>Horas del mes que el conector está activo. 730 = mes promedio. No lo cambies si corre 24×7.</t>
  </si>
  <si>
    <t>Tarifa de tarea</t>
  </si>
  <si>
    <t>Media</t>
  </si>
  <si>
    <t>Precio por cada unidad de trabajo del conector, cada hora. Min = bajo; Media = típico; Max = conservador.</t>
  </si>
  <si>
    <t>Tipo de cluster Kafka</t>
  </si>
  <si>
    <t>Dedicated</t>
  </si>
  <si>
    <t>Plan del cluster donde aterrizan los datos. Cambia el precio por GB escrito, no el del conector.</t>
  </si>
  <si>
    <t>Incluir escritura a Kafka</t>
  </si>
  <si>
    <t>Sí</t>
  </si>
  <si>
    <t>¿El conector mete datos en Confluent Cloud? Sí = se suma el peaje por GB de entrada. Source = Sí; Sink = No.</t>
  </si>
  <si>
    <t>Connect dedicado</t>
  </si>
  <si>
    <t>No</t>
  </si>
  <si>
    <t>Cargo fijo extra de Connect si el cluster Kafka es Dedicated. Un cargo del entorno, no por cada conector.</t>
  </si>
  <si>
    <t>PrivateLink</t>
  </si>
  <si>
    <t>Red privada banco–nube (sin internet público). Sí solo si Arquitectura lo exige.</t>
  </si>
  <si>
    <t>Custom SMT</t>
  </si>
  <si>
    <t>Transformaciones de datos a medida. No = las estándar. Sí = recargo.</t>
  </si>
  <si>
    <t>COSTO MENSUAL (USD)</t>
  </si>
  <si>
    <t>Tareas + datos Connect</t>
  </si>
  <si>
    <t>PrivateLink + SMT + Connect dedicado</t>
  </si>
  <si>
    <t>Escritura a Kafka (ingress, solo Source)</t>
  </si>
  <si>
    <t>TOTAL ESTIMADO / MES</t>
  </si>
  <si>
    <t>2. Conectores — elige en la flecha de la columna A, escribe tareas y GB/mes. Puedes añadir varias filas. Deja vacías las que no uses.</t>
  </si>
  <si>
    <t>Conector (elige ▼)</t>
  </si>
  <si>
    <t>Tareas (tasks.max)</t>
  </si>
  <si>
    <t>GB / mes</t>
  </si>
  <si>
    <t>Override $/tarea·h (opcional)</t>
  </si>
  <si>
    <t>Tipo</t>
  </si>
  <si>
    <t>Connect $/mes</t>
  </si>
  <si>
    <t>TOTAL $/mes</t>
  </si>
  <si>
    <t>Nota</t>
  </si>
  <si>
    <t>Azure Event Hubs [Source]</t>
  </si>
  <si>
    <t>SUMA</t>
  </si>
  <si>
    <t>Fórmulas oficiales:  coste_tareas = tareas × $/tarea/h × horas  |  coste_datos = GB × $/GB (pre-compresión)  |  ingress = GB × $/GB del cluster (solo Source).  No incluye eCKU/CKU, storage, Schema Registry ni Flink.  No es una cotización: los rangos $/tarea/h varían por región.</t>
  </si>
  <si>
    <t>Qué significa cada campo — guía para equipos de negocio</t>
  </si>
  <si>
    <t>Esta calculadora estima la factura mensual de un conector administrado que mueve datos hacia (o desde) Confluent Cloud. No es una cotización. En la hoja Calculadora, las celdas amarillas se eligen o se escriben; el resto se calcula solo.</t>
  </si>
  <si>
    <t>Opciones (bloque 1 de la Calculadora)</t>
  </si>
  <si>
    <t>Campo</t>
  </si>
  <si>
    <t>En palabras simples</t>
  </si>
  <si>
    <t>Qué implica en la factura</t>
  </si>
  <si>
    <t>Qué elegir</t>
  </si>
  <si>
    <t>Valor típico en el banco</t>
  </si>
  <si>
    <t>Cuántas horas del mes se considera el conector «encendido». Es el reloj de la factura, no un horario laboral.</t>
  </si>
  <si>
    <t>Todas las partidas que se cobran por hora (tareas, PrivateLink, SMT, Connect dedicado) se multiplican por este número.</t>
  </si>
  <si>
    <t>Déjalo en 730 si la integración opera todo el mes (24×7). No lo uses para «apagar» un conector: pausar puede seguir cobrando hasta eliminarlo.</t>
  </si>
  <si>
    <t>730 (mes promedio: 24 × 365 / 12).</t>
  </si>
  <si>
    <t>Precio de cada unidad de trabajo del conector durante una hora. Piensa en «cuántos operarios paralelos tiene la integración» (eso son las tareas) y «cuánto cuesta cada operario por hora» (eso es esta tarifa).</t>
  </si>
  <si>
    <t>Confluent publica un rango ($ mínimo – $ máximo) porque el precio cambia por región. La calculadora usa Min, el promedio o Max. Luego: tareas × tarifa × horas.</t>
  </si>
  <si>
    <t>Media para una estimación de presentación. Min si quieres el escenario más barato del rango público. Max si quieres ir conservador (presupuesto). Si hay precio de contrato, ignora esto y usa Override en la tabla.</t>
  </si>
  <si>
    <t>Media.</t>
  </si>
  <si>
    <t>El plan del cluster donde viven los topics (el «almacén» de eventos). No es el conector: es la plataforma a la que el conector escribe o de la que lee.</t>
  </si>
  <si>
    <t>Cambia el precio por GB de escritura al cluster (ingress). No cambia el precio por tarea del conector. Basic es el GB más caro; Dedicated, el más barato por GB (con mínimo oficial).</t>
  </si>
  <si>
    <t>Elige el plan real del entorno que estás costando (DESA / CERT / PROD). Pregunta a Plataforma si no lo tienes claro.</t>
  </si>
  <si>
    <t>Dedicated en producción.</t>
  </si>
  <si>
    <t>¿Hay que sumar el peaje por meter datos en el cluster, además del precio del conector? Es un cargo distinto: el conector es el «camión»; el ingress es el «peaje de la autopista».</t>
  </si>
  <si>
    <t>Si está en Sí y el conector es Source, se suma GB × $/GB del cluster. Si es Sink (sacar datos hacia ADLS, Snowflake, etc.), este peaje de entrada no aplica.</t>
  </si>
  <si>
    <t>Sí cuando el caso es «un sistema del banco escribe a Confluent Cloud» (Event Hubs, IBM MQ, CDC, S3 Source…). No cuando el caso es «Confluent Cloud escribe a otro destino».</t>
  </si>
  <si>
    <t>Sí para conectores Source.</t>
  </si>
  <si>
    <t>Una capacidad extra del servicio de conectores que Confluent factura cuando el cluster Kafka es Dedicated. No es un conector más: es el «local» donde corren los conectores en ese tipo de cluster.</t>
  </si>
  <si>
    <t>Cargo fijo por hora del entorno (0,27778 USD/h × horas). No se multiplica por el número de conectores de la tabla. Un Sí cubre todo el escenario.</t>
  </si>
  <si>
    <t>Sí si Plataforma confirma cluster Dedicated con Connect dedicado. No en Basic/Standard, o si aún no aplica.</t>
  </si>
  <si>
    <t>No, salvo confirmación de Plataforma.</t>
  </si>
  <si>
    <t>Conexión de red privada entre la red del banco y Confluent, sin salir a internet público. Es un requisito de seguridad/arquitectura, no una opción de «mejor rendimiento» para negocio.</t>
  </si>
  <si>
    <t>Recargo por cada tarea y hora (0,03 USD × tareas × horas). Si hay 3 tareas, se cobra 3 veces.</t>
  </si>
  <si>
    <t>Sí solo si el diseño de red del caso usa PrivateLink hacia los conectores. Si no lo sabes, deja No y valida con Arquitectura.</t>
  </si>
  <si>
    <t>No, salvo que Arquitectura lo exija.</t>
  </si>
  <si>
    <t>Transformaciones de datos dentro del conector (renombrar campos, enmascarar, cambiar formato). «Custom» significa hechas a medida, no las que vienen de serie.</t>
  </si>
  <si>
    <t>Recargo por cada tarea y hora (0,05 USD × tareas × horas). Las transformaciones estándar no tienen este cargo.</t>
  </si>
  <si>
    <t>No en el caso general. Sí solo si Desarrollo confirma que el conector usa un plugin SMT propio.</t>
  </si>
  <si>
    <t>No.</t>
  </si>
  <si>
    <t>Campos de la tabla de conectores (bloque 2)</t>
  </si>
  <si>
    <t>Conector</t>
  </si>
  <si>
    <t>Qué integración se está costando. Source = trae datos a Confluent Cloud. Sink = saca datos de Confluent Cloud.</t>
  </si>
  <si>
    <t>Cada conector tiene su propio rango de tarifa por tarea y su precio por GB de Connect.</t>
  </si>
  <si>
    <t>Elige en la lista el nombre + tipo (ej. Azure Event Hubs [Source]). No mezcles Source y Sink del mismo producto sin mirar el tipo.</t>
  </si>
  <si>
    <t>El de tu caso de uso.</t>
  </si>
  <si>
    <t>Cuántas unidades de trabajo en paralelo tiene el conector. Más tareas = más capacidad (y más coste por hora).</t>
  </si>
  <si>
    <t>Se multiplica por la tarifa de tarea y por las horas. También multiplica PrivateLink y SMT si están en Sí.</t>
  </si>
  <si>
    <t>Usa el valor de diseño (a menudo 1 a 3). No pongas un número «por si acaso»: cada tarea extra se paga todo el mes.</t>
  </si>
  <si>
    <t>El que defina el diseño técnico (ejemplo de la doc: 3).</t>
  </si>
  <si>
    <t>Volumen de datos del mes, medido antes de comprimir. Es el tamaño «real» de lo que se mueve, no el tamaño ya compactado en disco.</t>
  </si>
  <si>
    <t>Connect cobra por GB movido. Si es Source y «Incluir escritura» está en Sí, el cluster cobra otro GB de entrada.</t>
  </si>
  <si>
    <t>Estima el volumen de negocio del mes (eventos × tamaño medio). Si no hay dato, pide a TI un promedio reciente.</t>
  </si>
  <si>
    <t>El volumen real o el de la lámina (ejemplo de la doc: 15 000 GB = 15 TB).</t>
  </si>
  <si>
    <t>Override $/tarea·h</t>
  </si>
  <si>
    <t>Precio por tarea y hora pactado o pedido a Confluent, cuando la lista pública dice «Contact us» o hay contrato.</t>
  </si>
  <si>
    <t>Si lo llenas, sustituye Min/Media/Max para esa fila.</t>
  </si>
  <si>
    <t>Déjalo vacío si usas el rango público. Rellénalo solo con un número de contrato o de «Contact us».</t>
  </si>
  <si>
    <t>Vacío.</t>
  </si>
  <si>
    <t>Tipo / Connect $/mes / TOTAL</t>
  </si>
  <si>
    <t>Celdas verdes: no se rellenan. Tipo lo saca la lista. Connect $/mes es el conector. TOTAL suma también el peaje de escritura a Kafka si aplica.</t>
  </si>
  <si>
    <t>El recuadro verde grande «TOTAL ESTIMADO / MES» es la cifra para la lámina (conectores + extras de Opciones).</t>
  </si>
  <si>
    <t>No editar. Si sale 0, falta conector, tareas, GB, o el conector es «Contact us» sin Override.</t>
  </si>
  <si>
    <t>Calculado.</t>
  </si>
  <si>
    <t>Qué NO incluye esta calculadora (para no inflar ni quedarse corta la lámina)
• El cluster Kafka en sí (eCKU / CKU), almacenamiento de topics, Schema Registry ni Flink.
• Egress (sacar datos de la nube), soporte Premier, ni impuestos.
• El coste self-managed (AKS, personas, licencias on‑prem): eso está en el documento de comparación, no aquí.
Los precios públicos cambian por región y contrato. Validar con Confluent antes de un presupuesto formal.</t>
  </si>
  <si>
    <t>Tarifas públicas — Fully managed Kafka connectors (Confluent Cloud)</t>
  </si>
  <si>
    <t>Fuente: https://www.confluent.io/confluent-cloud/connect-pricing/  |  Billing: https://docs.confluent.io/cloud/current/billing/billing-dimensions.html  |  Throughput pre-compresión. 1 GB = 2^30 bytes (GiB). Precios en USD; varían por región. No es cotización.</t>
  </si>
  <si>
    <t>Clave</t>
  </si>
  <si>
    <t>Task min ($/tarea·h)</t>
  </si>
  <si>
    <t>Task max ($/tarea·h)</t>
  </si>
  <si>
    <t>Task media ($/tarea·h)</t>
  </si>
  <si>
    <t>Data transfer ($/GB)</t>
  </si>
  <si>
    <t>Cargos adicionales (oficiales)</t>
  </si>
  <si>
    <t>Custom (BYO plugin)</t>
  </si>
  <si>
    <t>Source or Sink</t>
  </si>
  <si>
    <t>Custom (BYO plugin) [Source or Sink]</t>
  </si>
  <si>
    <t>Concepto</t>
  </si>
  <si>
    <t>USD</t>
  </si>
  <si>
    <t>ActiveMQ</t>
  </si>
  <si>
    <t>Source</t>
  </si>
  <si>
    <t>ActiveMQ [Source]</t>
  </si>
  <si>
    <t>Horas/mes (doc flink-v1)</t>
  </si>
  <si>
    <t>24×365/12 ≈ 730</t>
  </si>
  <si>
    <t>Amazon CloudWatch Logs</t>
  </si>
  <si>
    <t>Amazon CloudWatch Logs [Source]</t>
  </si>
  <si>
    <t>Connect dedicado ($/h)</t>
  </si>
  <si>
    <t>CONNECT_CAPACITY — cluster Dedicated</t>
  </si>
  <si>
    <t>Amazon DynamoDB CDC</t>
  </si>
  <si>
    <t>Amazon DynamoDB CDC [Source]</t>
  </si>
  <si>
    <t>Contact us</t>
  </si>
  <si>
    <t>PrivateLink ($/tarea·h)</t>
  </si>
  <si>
    <t>endpoints PrivateLink</t>
  </si>
  <si>
    <t>Amazon Kinesis</t>
  </si>
  <si>
    <t>Amazon Kinesis [Source]</t>
  </si>
  <si>
    <t>Custom SMT ($/tarea·h)</t>
  </si>
  <si>
    <t>SMT personalizados</t>
  </si>
  <si>
    <t>Amazon S3</t>
  </si>
  <si>
    <t>Amazon S3 [Source]</t>
  </si>
  <si>
    <t>Connect data transfer default ($/GB)</t>
  </si>
  <si>
    <t>pre-compresión</t>
  </si>
  <si>
    <t>Amazon SQS</t>
  </si>
  <si>
    <t>Amazon SQS [Source]</t>
  </si>
  <si>
    <t>Kafka ingress Basic ($/GB)</t>
  </si>
  <si>
    <t>KAFKA_NETWORK_WRITE — conector source escribe al cluster</t>
  </si>
  <si>
    <t>Azure Blob Storage</t>
  </si>
  <si>
    <t>Azure Blob Storage [Source]</t>
  </si>
  <si>
    <t>Kafka ingress Standard min ($/GB)</t>
  </si>
  <si>
    <t>rango oficial 0.035–0.050</t>
  </si>
  <si>
    <t>Azure Cosmos DB</t>
  </si>
  <si>
    <t>Azure Cosmos DB [Source]</t>
  </si>
  <si>
    <t>Kafka ingress Enterprise min ($/GB)</t>
  </si>
  <si>
    <t>rango oficial 0.020–0.050</t>
  </si>
  <si>
    <t>Azure Cosmos DB V2</t>
  </si>
  <si>
    <t>Azure Cosmos DB V2 [Source]</t>
  </si>
  <si>
    <t>Kafka ingress Dedicated min ($/GB)</t>
  </si>
  <si>
    <t>rango oficial 0.014–0.030</t>
  </si>
  <si>
    <t>Azure Event Hubs</t>
  </si>
  <si>
    <t>Azure Service Bus</t>
  </si>
  <si>
    <t>Azure Service Bus [Source]</t>
  </si>
  <si>
    <t>Couchbase Source</t>
  </si>
  <si>
    <t>Couchbase Source [Source]</t>
  </si>
  <si>
    <t>Datagen</t>
  </si>
  <si>
    <t>Datagen [Source]</t>
  </si>
  <si>
    <t>Debezium MariaDB CDC</t>
  </si>
  <si>
    <t>Debezium MariaDB CDC [Source]</t>
  </si>
  <si>
    <t>Github</t>
  </si>
  <si>
    <t>Github [Source]</t>
  </si>
  <si>
    <t>Google Cloud Pub/Sub</t>
  </si>
  <si>
    <t>Google Cloud Pub/Sub [Source]</t>
  </si>
  <si>
    <t>Google Cloud Storage</t>
  </si>
  <si>
    <t>Google Cloud Storage [Source]</t>
  </si>
  <si>
    <t>HTTP</t>
  </si>
  <si>
    <t>HTTP [Source]</t>
  </si>
  <si>
    <t>HTTP V2</t>
  </si>
  <si>
    <t>HTTP V2 [Source]</t>
  </si>
  <si>
    <t>IBM MQ</t>
  </si>
  <si>
    <t>IBM MQ [Source]</t>
  </si>
  <si>
    <t>InfluxDB 2</t>
  </si>
  <si>
    <t>InfluxDB 2 [Source]</t>
  </si>
  <si>
    <t>Jira</t>
  </si>
  <si>
    <t>Jira [Source]</t>
  </si>
  <si>
    <t>MariaDB CDC</t>
  </si>
  <si>
    <t>MariaDB CDC [Source]</t>
  </si>
  <si>
    <t>Microsoft SQL Server</t>
  </si>
  <si>
    <t>Microsoft SQL Server [Source]</t>
  </si>
  <si>
    <t>Microsoft SQL Server CDC (Debezium)</t>
  </si>
  <si>
    <t>Microsoft SQL Server CDC (Debezium) [Source]</t>
  </si>
  <si>
    <t>Microsoft SQL Server CDC V2 (Debezium)</t>
  </si>
  <si>
    <t>Microsoft SQL Server CDC V2 (Debezium) [Source]</t>
  </si>
  <si>
    <t>MongoDB Atlas</t>
  </si>
  <si>
    <t>MongoDB Atlas [Source]</t>
  </si>
  <si>
    <t>MQTT</t>
  </si>
  <si>
    <t>MQTT [Source]</t>
  </si>
  <si>
    <t>MySQL</t>
  </si>
  <si>
    <t>MySQL [Source]</t>
  </si>
  <si>
    <t>MySQL CDC (Debezium)</t>
  </si>
  <si>
    <t>MySQL CDC (Debezium) [Source]</t>
  </si>
  <si>
    <t>MySQL CDC V2 (Debezium)</t>
  </si>
  <si>
    <t>MySQL CDC V2 (Debezium) [Source]</t>
  </si>
  <si>
    <t>Oracle Database</t>
  </si>
  <si>
    <t>Oracle Database [Source]</t>
  </si>
  <si>
    <t>PostgreSQL</t>
  </si>
  <si>
    <t>PostgreSQL [Source]</t>
  </si>
  <si>
    <t>PostgreSQL CDC (Debezium)</t>
  </si>
  <si>
    <t>PostgreSQL CDC (Debezium) [Source]</t>
  </si>
  <si>
    <t>PostgreSQL CDC V2 (Debezium)</t>
  </si>
  <si>
    <t>PostgreSQL CDC V2 (Debezium) [Source]</t>
  </si>
  <si>
    <t>RabbitMQ</t>
  </si>
  <si>
    <t>RabbitMQ [Source]</t>
  </si>
  <si>
    <t>Redis</t>
  </si>
  <si>
    <t>Redis [Source]</t>
  </si>
  <si>
    <t>Salesforce Bulk API</t>
  </si>
  <si>
    <t>Salesforce Bulk API [Source]</t>
  </si>
  <si>
    <t>Salesforce CDC</t>
  </si>
  <si>
    <t>Salesforce CDC [Source]</t>
  </si>
  <si>
    <t>Salesforce Platform Event</t>
  </si>
  <si>
    <t>Salesforce Platform Event [Source]</t>
  </si>
  <si>
    <t>Salesforce PushTopic</t>
  </si>
  <si>
    <t>Salesforce PushTopic [Source]</t>
  </si>
  <si>
    <t>ServiceNow</t>
  </si>
  <si>
    <t>ServiceNow [Source]</t>
  </si>
  <si>
    <t>ServiceNow V2</t>
  </si>
  <si>
    <t>ServiceNow V2 [Source]</t>
  </si>
  <si>
    <t>SFTP</t>
  </si>
  <si>
    <t>SFTP [Source]</t>
  </si>
  <si>
    <t>Snowflake</t>
  </si>
  <si>
    <t>Snowflake [Source]</t>
  </si>
  <si>
    <t>Zendesk</t>
  </si>
  <si>
    <t>Zendesk [Source]</t>
  </si>
  <si>
    <t>AlloyDB</t>
  </si>
  <si>
    <t>Sink</t>
  </si>
  <si>
    <t>AlloyDB [Sink]</t>
  </si>
  <si>
    <t>Amazon CloudWatch Metrics</t>
  </si>
  <si>
    <t>Amazon CloudWatch Metrics [Sink]</t>
  </si>
  <si>
    <t>Amazon DynamoDB</t>
  </si>
  <si>
    <t>Amazon DynamoDB [Sink]</t>
  </si>
  <si>
    <t>Amazon Redshift</t>
  </si>
  <si>
    <t>Amazon Redshift [Sink]</t>
  </si>
  <si>
    <t>Amazon S3 [Sink]</t>
  </si>
  <si>
    <t>AWS Lambda</t>
  </si>
  <si>
    <t>AWS Lambda [Sink]</t>
  </si>
  <si>
    <t>Azure Blob Storage [Sink]</t>
  </si>
  <si>
    <t>Azure Cognitive Search</t>
  </si>
  <si>
    <t>Azure Cognitive Search [Sink]</t>
  </si>
  <si>
    <t>Azure Cosmos DB [Sink]</t>
  </si>
  <si>
    <t>Azure Cosmos DB V2 [Sink]</t>
  </si>
  <si>
    <t>Azure Data Lake Storage Gen 2</t>
  </si>
  <si>
    <t>Azure Data Lake Storage Gen 2 [Sink]</t>
  </si>
  <si>
    <t>Azure Functions</t>
  </si>
  <si>
    <t>Azure Functions [Sink]</t>
  </si>
  <si>
    <t>Azure Log Analytics</t>
  </si>
  <si>
    <t>Azure Log Analytics [Sink]</t>
  </si>
  <si>
    <t>Azure Synapse Analytics</t>
  </si>
  <si>
    <t>Azure Synapse Analytics [Sink]</t>
  </si>
  <si>
    <t>Clickhouse Sink</t>
  </si>
  <si>
    <t>Clickhouse Sink [Sink]</t>
  </si>
  <si>
    <t>Couchbase Sink</t>
  </si>
  <si>
    <t>Couchbase Sink [Sink]</t>
  </si>
  <si>
    <t>Databricks Delta Lake</t>
  </si>
  <si>
    <t>Databricks Delta Lake [Sink]</t>
  </si>
  <si>
    <t>Datadog Metrics</t>
  </si>
  <si>
    <t>Datadog Metrics [Sink]</t>
  </si>
  <si>
    <t>Elasticsearch</t>
  </si>
  <si>
    <t>Elasticsearch [Sink]</t>
  </si>
  <si>
    <t>Google BigQuery</t>
  </si>
  <si>
    <t>Google BigQuery [Sink]</t>
  </si>
  <si>
    <t>Google BigQuery V2</t>
  </si>
  <si>
    <t>Google BigQuery V2 [Sink]</t>
  </si>
  <si>
    <t>Google Cloud BigTable</t>
  </si>
  <si>
    <t>Google Cloud BigTable [Sink]</t>
  </si>
  <si>
    <t>Google Cloud Functions</t>
  </si>
  <si>
    <t>Google Cloud Functions [Sink]</t>
  </si>
  <si>
    <t>Google Cloud Functions Gen 2</t>
  </si>
  <si>
    <t>Google Cloud Functions Gen 2 [Sink]</t>
  </si>
  <si>
    <t>Google Cloud Spanner</t>
  </si>
  <si>
    <t>Google Cloud Spanner [Sink]</t>
  </si>
  <si>
    <t>Google Cloud Storage (GCS)</t>
  </si>
  <si>
    <t>Google Cloud Storage (GCS) [Sink]</t>
  </si>
  <si>
    <t>HTTP [Sink]</t>
  </si>
  <si>
    <t>HTTP V2 [Sink]</t>
  </si>
  <si>
    <t>InfluxDB 2 [Sink]</t>
  </si>
  <si>
    <t>InfluxDB 3</t>
  </si>
  <si>
    <t>InfluxDB 3 [Sink]</t>
  </si>
  <si>
    <t>Microsoft SQL Server [Sink]</t>
  </si>
  <si>
    <t>MongoDB Atlas [Sink]</t>
  </si>
  <si>
    <t>MQTT [Sink]</t>
  </si>
  <si>
    <t>MySQL [Sink]</t>
  </si>
  <si>
    <t>Neo4j</t>
  </si>
  <si>
    <t>Neo4j [Sink]</t>
  </si>
  <si>
    <t>New Relic Metric</t>
  </si>
  <si>
    <t>New Relic Metric [Sink]</t>
  </si>
  <si>
    <t>OpenSearch</t>
  </si>
  <si>
    <t>OpenSearch [Sink]</t>
  </si>
  <si>
    <t>Oracle Database [Sink]</t>
  </si>
  <si>
    <t>PagerDuty</t>
  </si>
  <si>
    <t>PagerDuty [Sink]</t>
  </si>
  <si>
    <t>PostgreSQL [Sink]</t>
  </si>
  <si>
    <t>RabbitMQ [Sink]</t>
  </si>
  <si>
    <t>Redis [Sink]</t>
  </si>
  <si>
    <t>Salesforce Platform Event [Sink]</t>
  </si>
  <si>
    <t>Salesforce SObject</t>
  </si>
  <si>
    <t>Salesforce SObject [Sink]</t>
  </si>
  <si>
    <t>ServiceNow [Sink]</t>
  </si>
  <si>
    <t>SFTP [Sink]</t>
  </si>
  <si>
    <t>Snowflake [Sink]</t>
  </si>
  <si>
    <t>Solace</t>
  </si>
  <si>
    <t>Solace [Sink]</t>
  </si>
  <si>
    <t>Splunk</t>
  </si>
  <si>
    <t>Splunk [Sink]</t>
  </si>
  <si>
    <t>Oracle CDC Premium</t>
  </si>
  <si>
    <t>Oracle CDC Premium [Source]</t>
  </si>
  <si>
    <t>Oracle XStream CDC Premium</t>
  </si>
  <si>
    <t>Oracle XStream CDC Premium [Source]</t>
  </si>
  <si>
    <t>Fuentes oficiales y del repo flink-v1</t>
  </si>
  <si>
    <t>Documento</t>
  </si>
  <si>
    <t>URL / ruta</t>
  </si>
  <si>
    <t>Managed Kafka Connector Pricing</t>
  </si>
  <si>
    <t>https://www.confluent.io/confluent-cloud/connect-pricing/</t>
  </si>
  <si>
    <t>Billing dimensions (Connect + Kafka ingress)</t>
  </si>
  <si>
    <t>https://docs.confluent.io/cloud/current/billing/billing-dimensions.html</t>
  </si>
  <si>
    <t>Billing overview</t>
  </si>
  <si>
    <t>https://docs.confluent.io/cloud/current/billing/overview.html</t>
  </si>
  <si>
    <t>Confluent Cloud pricing (cluster ingress)</t>
  </si>
  <si>
    <t>https://www.confluent.io/pricing/</t>
  </si>
  <si>
    <t>flink-v1 — comparación self vs full-managed</t>
  </si>
  <si>
    <t>flink-v1/docs/CONNECTORS_SELF_MANAGED_VS_FULL_MANAGED.md</t>
  </si>
  <si>
    <t>Cómo usarla
1. Lee la hoja «Guía de opciones» si eres de negocio o es la primera vez.
2. En Calculadora, celdas amarillas: cluster, tarifa Min/Media/Max y Sí/No de extras.
3. En la tabla, elige el conector (flecha), escribe tareas y GB/mes.
4. El TOTAL ESTIMADO / MES se actualiza solo.
5. Si el conector es «Contact us», rellena Override $/tarea·h.
6. No sustituye una cotización de Confluent.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</si>
</sst>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00"/>
    <numFmt numFmtId="165" formatCode="&quot;$&quot;#,##0.000"/>
    <numFmt numFmtId="166" formatCode="#,##0.00000"/>
    <numFmt numFmtId="167" formatCode="&quot;$&quot;#,##0.00"/>
  </numFmts>
  <fonts count="17" x14ac:knownFonts="1">
    <font>
      <sz val="11"/>
      <color theme="1"/>
      <name val="Calibri"/>
      <family val="2"/>
      <scheme val="minor"/>
    </font>
    <font>
      <b/>
      <sz val="16"/>
      <color rgb="FFFFFFFF"/>
      <name val="Calibri"/>
      <family val="2"/>
    </font>
    <font>
      <i/>
      <sz val="9"/>
      <color rgb="FF5F6B7A"/>
      <name val="Calibri"/>
      <family val="2"/>
    </font>
    <font>
      <b/>
      <sz val="11"/>
      <color rgb="FFFFFFFF"/>
      <name val="Calibri"/>
      <family val="2"/>
    </font>
    <font>
      <sz val="9"/>
      <color rgb="FF5F6B7A"/>
      <name val="Calibri"/>
      <family val="2"/>
    </font>
    <font>
      <b/>
      <sz val="18"/>
      <color rgb="FFFFFFFF"/>
      <name val="Calibri"/>
      <family val="2"/>
    </font>
    <font>
      <i/>
      <sz val="11"/>
      <color rgb="FF5F6B7A"/>
      <name val="Calibri"/>
      <family val="2"/>
    </font>
    <font>
      <b/>
      <sz val="12"/>
      <color rgb="FFFFFFFF"/>
      <name val="Calibri"/>
      <family val="2"/>
    </font>
    <font>
      <b/>
      <sz val="11"/>
      <color rgb="FF1B365D"/>
      <name val="Calibri"/>
      <family val="2"/>
    </font>
    <font>
      <b/>
      <sz val="12"/>
      <color rgb="FFB45309"/>
      <name val="Calibri"/>
      <family val="2"/>
    </font>
    <font>
      <b/>
      <sz val="12"/>
      <color rgb="FF1B365D"/>
      <name val="Calibri"/>
      <family val="2"/>
    </font>
    <font>
      <b/>
      <sz val="14"/>
      <color rgb="FFFFFFFF"/>
      <name val="Calibri"/>
      <family val="2"/>
    </font>
    <font>
      <sz val="11"/>
      <name val="Calibri"/>
      <family val="2"/>
    </font>
    <font>
      <sz val="11"/>
      <color rgb="FF5F6B7A"/>
      <name val="Calibri"/>
      <family val="2"/>
    </font>
    <font>
      <u/>
      <sz val="11"/>
      <color rgb="FF0563C1"/>
      <name val="Calibri"/>
      <family val="2"/>
    </font>
    <font>
      <sz val="12"/>
      <name val="Calibri"/>
      <family val="2"/>
    </font>
    <font>
      <sz val="11"/>
      <color rgb="FF000000"/>
      <name val="Calibri"/>
      <family val="2"/>
    </font>
  </fonts>
  <fills count="13">
    <fill>
      <patternFill patternType="none"/>
    </fill>
    <fill>
      <patternFill patternType="gray125"/>
    </fill>
    <fill>
      <patternFill patternType="solid">
        <fgColor rgb="FF1B365D"/>
      </patternFill>
    </fill>
    <fill>
      <patternFill patternType="solid">
        <fgColor rgb="FFE0F2F1"/>
      </patternFill>
    </fill>
    <fill>
      <patternFill patternType="solid">
        <fgColor rgb="FFE3F2FD"/>
      </patternFill>
    </fill>
    <fill>
      <patternFill patternType="solid">
        <fgColor rgb="FFFFF3E0"/>
      </patternFill>
    </fill>
    <fill>
      <patternFill patternType="solid">
        <fgColor rgb="FFF3E5F5"/>
      </patternFill>
    </fill>
    <fill>
      <patternFill patternType="solid">
        <fgColor rgb="FF0F6C8C"/>
      </patternFill>
    </fill>
    <fill>
      <patternFill patternType="solid">
        <fgColor rgb="FFF4F7FA"/>
      </patternFill>
    </fill>
    <fill>
      <patternFill patternType="solid">
        <fgColor rgb="FFFFF8E1"/>
      </patternFill>
    </fill>
    <fill>
      <patternFill patternType="solid">
        <fgColor rgb="FFE8F5E9"/>
      </patternFill>
    </fill>
    <fill>
      <patternFill patternType="solid">
        <fgColor rgb="FF1B7A4E"/>
      </patternFill>
    </fill>
    <fill>
      <patternFill patternType="solid">
        <fgColor rgb="FFC8E6C9"/>
      </patternFill>
    </fill>
  </fills>
  <borders count="3">
    <border>
      <left/>
      <right/>
      <top/>
      <bottom/>
      <diagonal/>
    </border>
    <border>
      <left style="thin">
        <color rgb="FFD0D7DE"/>
      </left>
      <right style="thin">
        <color rgb="FFD0D7DE"/>
      </right>
      <top style="thin">
        <color rgb="FFD0D7DE"/>
      </top>
      <bottom style="thin">
        <color rgb="FFD0D7DE"/>
      </bottom>
      <diagonal/>
    </border>
    <border>
      <left/>
      <right style="thin">
        <color rgb="FFD0D7DE"/>
      </right>
      <top style="thin">
        <color rgb="FFD0D7DE"/>
      </top>
      <bottom style="thin">
        <color rgb="FFD0D7DE"/>
      </bottom>
      <diagonal/>
    </border>
  </borders>
  <cellStyleXfs count="1">
    <xf numFmtId="0" fontId="0" fillId="0" borderId="0"/>
  </cellStyleXfs>
  <cellXfs count="53">
    <xf numFmtId="0" fontId="0" fillId="0" borderId="0" xfId="0"/>
    <xf numFmtId="0" fontId="8" fillId="8" borderId="1" xfId="0" applyFont="1" applyFill="1" applyBorder="1"/>
    <xf numFmtId="1" fontId="9" fillId="9" borderId="1" xfId="0" applyNumberFormat="1" applyFont="1" applyFill="1" applyBorder="1" applyAlignment="1" applyProtection="1">
      <alignment horizontal="center"/>
      <protection locked="0"/>
    </xf>
    <xf numFmtId="0" fontId="4" fillId="0" borderId="0" xfId="0" applyFont="1" applyAlignment="1">
      <alignment vertical="center" wrapText="1"/>
    </xf>
    <xf numFmtId="0" fontId="9" fillId="9" borderId="1" xfId="0" applyFont="1" applyFill="1" applyBorder="1" applyAlignment="1" applyProtection="1">
      <alignment horizontal="center"/>
      <protection locked="0"/>
    </xf>
    <xf numFmtId="167" fontId="10" fillId="10" borderId="1" xfId="0" applyNumberFormat="1" applyFont="1" applyFill="1" applyBorder="1"/>
    <xf numFmtId="0" fontId="0" fillId="0" borderId="1" xfId="0" applyBorder="1"/>
    <xf numFmtId="167" fontId="1" fillId="11" borderId="1" xfId="0" applyNumberFormat="1" applyFont="1" applyFill="1" applyBorder="1" applyAlignment="1">
      <alignment horizontal="center"/>
    </xf>
    <xf numFmtId="0" fontId="3" fillId="2" borderId="1" xfId="0" applyFont="1" applyFill="1" applyBorder="1" applyAlignment="1">
      <alignment horizontal="center" vertical="center" wrapText="1"/>
    </xf>
    <xf numFmtId="0" fontId="12" fillId="9" borderId="1" xfId="0" applyFont="1" applyFill="1" applyBorder="1" applyProtection="1">
      <protection locked="0"/>
    </xf>
    <xf numFmtId="3" fontId="9" fillId="9" borderId="1" xfId="0" applyNumberFormat="1" applyFont="1" applyFill="1" applyBorder="1" applyAlignment="1" applyProtection="1">
      <alignment horizontal="center"/>
      <protection locked="0"/>
    </xf>
    <xf numFmtId="164" fontId="0" fillId="9" borderId="1" xfId="0" applyNumberFormat="1" applyFill="1" applyBorder="1" applyProtection="1">
      <protection locked="0"/>
    </xf>
    <xf numFmtId="0" fontId="0" fillId="0" borderId="1" xfId="0" applyBorder="1" applyAlignment="1">
      <alignment horizontal="center"/>
    </xf>
    <xf numFmtId="167" fontId="0" fillId="10" borderId="1" xfId="0" applyNumberFormat="1" applyFill="1" applyBorder="1"/>
    <xf numFmtId="167" fontId="10" fillId="12" borderId="1" xfId="0" applyNumberFormat="1" applyFont="1" applyFill="1" applyBorder="1"/>
    <xf numFmtId="164" fontId="0" fillId="0" borderId="0" xfId="0" applyNumberFormat="1"/>
    <xf numFmtId="165" fontId="0" fillId="0" borderId="0" xfId="0" applyNumberFormat="1"/>
    <xf numFmtId="167" fontId="0" fillId="0" borderId="0" xfId="0" applyNumberFormat="1"/>
    <xf numFmtId="0" fontId="3" fillId="2" borderId="1" xfId="0" applyFont="1" applyFill="1" applyBorder="1"/>
    <xf numFmtId="1" fontId="3" fillId="2" borderId="1" xfId="0" applyNumberFormat="1" applyFont="1" applyFill="1" applyBorder="1"/>
    <xf numFmtId="3" fontId="3" fillId="2" borderId="1" xfId="0" applyNumberFormat="1" applyFont="1" applyFill="1" applyBorder="1"/>
    <xf numFmtId="167" fontId="3" fillId="2" borderId="1" xfId="0" applyNumberFormat="1" applyFont="1" applyFill="1" applyBorder="1"/>
    <xf numFmtId="0" fontId="8" fillId="8"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xf numFmtId="0" fontId="4" fillId="0" borderId="1" xfId="0" applyFont="1" applyBorder="1"/>
    <xf numFmtId="164" fontId="0" fillId="0" borderId="1" xfId="0" applyNumberFormat="1" applyBorder="1"/>
    <xf numFmtId="165" fontId="0" fillId="0" borderId="1" xfId="0" applyNumberFormat="1" applyBorder="1"/>
    <xf numFmtId="0" fontId="3" fillId="7" borderId="1" xfId="0" applyFont="1" applyFill="1" applyBorder="1"/>
    <xf numFmtId="0" fontId="0" fillId="4" borderId="1" xfId="0" applyFill="1" applyBorder="1"/>
    <xf numFmtId="3" fontId="0" fillId="0" borderId="1" xfId="0" applyNumberFormat="1" applyBorder="1"/>
    <xf numFmtId="166" fontId="0" fillId="0" borderId="1" xfId="0" applyNumberFormat="1" applyBorder="1"/>
    <xf numFmtId="0" fontId="0" fillId="5" borderId="1" xfId="0" applyFill="1" applyBorder="1"/>
    <xf numFmtId="0" fontId="0" fillId="6" borderId="1" xfId="0" applyFill="1" applyBorder="1"/>
    <xf numFmtId="0" fontId="14" fillId="0" borderId="1" xfId="0" applyFont="1" applyBorder="1"/>
    <xf numFmtId="0" fontId="4" fillId="0" borderId="0" xfId="0" applyFont="1" applyAlignment="1">
      <alignment vertical="top" wrapText="1"/>
    </xf>
    <xf numFmtId="0" fontId="0" fillId="0" borderId="0" xfId="0"/>
    <xf numFmtId="0" fontId="3" fillId="2" borderId="0" xfId="0" applyFont="1" applyFill="1" applyAlignment="1">
      <alignment vertical="center"/>
    </xf>
    <xf numFmtId="0" fontId="5" fillId="2" borderId="0" xfId="0" applyFont="1" applyFill="1" applyAlignment="1">
      <alignment vertical="center"/>
    </xf>
    <xf numFmtId="0" fontId="0" fillId="8" borderId="1" xfId="0" applyFill="1" applyBorder="1"/>
    <xf numFmtId="0" fontId="0" fillId="0" borderId="2" xfId="0" applyBorder="1"/>
    <xf numFmtId="0" fontId="6" fillId="0" borderId="0" xfId="0" applyFont="1" applyAlignment="1">
      <alignment vertical="center" wrapText="1"/>
    </xf>
    <xf numFmtId="0" fontId="11" fillId="11" borderId="1" xfId="0" applyFont="1" applyFill="1" applyBorder="1" applyAlignment="1">
      <alignment vertical="center"/>
    </xf>
    <xf numFmtId="0" fontId="0" fillId="0" borderId="1" xfId="0" applyBorder="1"/>
    <xf numFmtId="0" fontId="7" fillId="7" borderId="0" xfId="0" applyFont="1" applyFill="1" applyAlignment="1">
      <alignment vertical="center"/>
    </xf>
    <xf numFmtId="0" fontId="7" fillId="7" borderId="0" xfId="0" applyFont="1" applyFill="1" applyAlignment="1">
      <alignment vertical="center" wrapText="1"/>
    </xf>
    <xf numFmtId="0" fontId="7" fillId="7" borderId="0" xfId="0" applyFont="1" applyFill="1"/>
    <xf numFmtId="0" fontId="13" fillId="0" borderId="0" xfId="0" applyFont="1" applyAlignment="1">
      <alignment vertical="top" wrapText="1"/>
    </xf>
    <xf numFmtId="0" fontId="3" fillId="2" borderId="0" xfId="0" applyFont="1" applyFill="1"/>
    <xf numFmtId="0" fontId="2" fillId="0" borderId="0" xfId="0" applyFont="1" applyAlignment="1">
      <alignment vertical="center" wrapText="1"/>
    </xf>
    <xf numFmtId="0" fontId="1" fillId="2" borderId="0" xfId="0" applyFont="1" applyFill="1" applyAlignment="1">
      <alignment vertical="center"/>
    </xf>
    <xf numFmtId="0" fontId="15" fillId="0" borderId="0" xfId="0" applyFont="1" applyAlignment="1">
      <alignment vertical="top" wrapText="1"/>
    </xf>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USD / mes por conector</a:t>
            </a:r>
          </a:p>
        </c:rich>
      </c:tx>
      <c:overlay val="1"/>
    </c:title>
    <c:autoTitleDeleted val="0"/>
    <c:plotArea>
      <c:layout/>
      <c:barChart>
        <c:barDir val="col"/>
        <c:grouping val="clustered"/>
        <c:varyColors val="1"/>
        <c:ser>
          <c:idx val="0"/>
          <c:order val="0"/>
          <c:tx>
            <c:strRef>
              <c:f>Calculadora!$G$20</c:f>
              <c:strCache>
                <c:ptCount val="1"/>
                <c:pt idx="0">
                  <c:v>TOTAL $/mes</c:v>
                </c:pt>
              </c:strCache>
            </c:strRef>
          </c:tx>
          <c:spPr>
            <a:ln>
              <a:prstDash val="solid"/>
            </a:ln>
          </c:spPr>
          <c:invertIfNegative val="1"/>
          <c:cat>
            <c:strRef>
              <c:f>Calculadora!$A$21:$A$32</c:f>
              <c:strCache>
                <c:ptCount val="2"/>
                <c:pt idx="0">
                  <c:v>Azure Event Hubs [Source]</c:v>
                </c:pt>
                <c:pt idx="1">
                  <c:v>Azure Cosmos DB [Sink]</c:v>
                </c:pt>
              </c:strCache>
            </c:strRef>
          </c:cat>
          <c:val>
            <c:numRef>
              <c:f>Calculadora!$G$21:$G$32</c:f>
              <c:numCache>
                <c:formatCode>"$"#,##0.00</c:formatCode>
                <c:ptCount val="12"/>
                <c:pt idx="0">
                  <c:v>707.31150000000002</c:v>
                </c:pt>
                <c:pt idx="1">
                  <c:v>872.3</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351-5C47-9A9A-510E55475852}"/>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USD</a:t>
                </a:r>
              </a:p>
            </c:rich>
          </c:tx>
          <c:overlay val="1"/>
        </c:title>
        <c:numFmt formatCode="&quot;$&quot;#,##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1612900</xdr:colOff>
      <xdr:row>5</xdr:row>
      <xdr:rowOff>0</xdr:rowOff>
    </xdr:from>
    <xdr:ext cx="6480000" cy="288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hyperlink" Target="https://docs.confluent.io/cloud/current/billing/overview.html" TargetMode="External"/><Relationship Id="rId2" Type="http://schemas.openxmlformats.org/officeDocument/2006/relationships/hyperlink" Target="https://docs.confluent.io/cloud/current/billing/billing-dimensions.html" TargetMode="External"/><Relationship Id="rId1" Type="http://schemas.openxmlformats.org/officeDocument/2006/relationships/hyperlink" Target="https://www.confluent.io/confluent-cloud/connect-pricing/" TargetMode="External"/><Relationship Id="rId4" Type="http://schemas.openxmlformats.org/officeDocument/2006/relationships/hyperlink" Target="https://www.confluent.io/pric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36"/>
  <sheetViews>
    <sheetView showGridLines="0" tabSelected="1" workbookViewId="0">
      <pane ySplit="20" topLeftCell="A21" activePane="bottomLeft" state="frozen"/>
      <selection pane="bottomLeft" activeCell="C24" sqref="C24"/>
    </sheetView>
  </sheetViews>
  <sheetFormatPr baseColWidth="10" defaultColWidth="8.83203125" defaultRowHeight="15" x14ac:dyDescent="0.2"/>
  <cols>
    <col min="1" max="1" width="42" customWidth="1"/>
    <col min="2" max="2" width="18" customWidth="1"/>
    <col min="3" max="3" width="78" customWidth="1"/>
    <col min="4" max="4" width="28" customWidth="1"/>
    <col min="5" max="5" width="14" customWidth="1"/>
    <col min="6" max="7" width="16" customWidth="1"/>
    <col min="8" max="8" width="48" customWidth="1"/>
    <col min="9" max="15" width="13" hidden="1" customWidth="1"/>
    <col min="27" max="27" width="13" hidden="1" customWidth="1"/>
  </cols>
  <sheetData>
    <row r="1" spans="1:27" ht="34" customHeight="1" x14ac:dyDescent="0.2">
      <c r="A1" s="38" t="s">
        <v>0</v>
      </c>
      <c r="B1" s="36"/>
      <c r="C1" s="36"/>
      <c r="D1" s="36"/>
      <c r="E1" s="36"/>
      <c r="F1" s="36"/>
      <c r="G1" s="36"/>
      <c r="AA1">
        <f>IF($B$7="Basic",0.05,IF($B$7="Standard",0.035,IF($B$7="Enterprise",0.02,IF($B$7="Dedicated",0.014,0.05))))</f>
        <v>1.4E-2</v>
      </c>
    </row>
    <row r="2" spans="1:27" ht="36" customHeight="1" x14ac:dyDescent="0.2">
      <c r="A2" s="41" t="s">
        <v>1</v>
      </c>
      <c r="B2" s="36"/>
      <c r="C2" s="36"/>
      <c r="D2" s="36"/>
      <c r="E2" s="36"/>
      <c r="F2" s="36"/>
      <c r="G2" s="36"/>
      <c r="AA2">
        <f>IF(OR($B$9="Sí",$B$9="Si"),0.27778*$B$5,0)</f>
        <v>0</v>
      </c>
    </row>
    <row r="4" spans="1:27" ht="16" x14ac:dyDescent="0.2">
      <c r="A4" s="44" t="s">
        <v>2</v>
      </c>
      <c r="B4" s="36"/>
      <c r="C4" s="36"/>
    </row>
    <row r="5" spans="1:27" ht="32" customHeight="1" x14ac:dyDescent="0.2">
      <c r="A5" s="1" t="s">
        <v>3</v>
      </c>
      <c r="B5" s="2">
        <v>730</v>
      </c>
      <c r="C5" s="3" t="s">
        <v>4</v>
      </c>
    </row>
    <row r="6" spans="1:27" ht="32" customHeight="1" x14ac:dyDescent="0.2">
      <c r="A6" s="1" t="s">
        <v>5</v>
      </c>
      <c r="B6" s="4" t="s">
        <v>6</v>
      </c>
      <c r="C6" s="3" t="s">
        <v>7</v>
      </c>
    </row>
    <row r="7" spans="1:27" ht="32" customHeight="1" x14ac:dyDescent="0.2">
      <c r="A7" s="1" t="s">
        <v>8</v>
      </c>
      <c r="B7" s="4" t="s">
        <v>9</v>
      </c>
      <c r="C7" s="3" t="s">
        <v>10</v>
      </c>
    </row>
    <row r="8" spans="1:27" ht="32" customHeight="1" x14ac:dyDescent="0.2">
      <c r="A8" s="1" t="s">
        <v>11</v>
      </c>
      <c r="B8" s="4" t="s">
        <v>12</v>
      </c>
      <c r="C8" s="3" t="s">
        <v>13</v>
      </c>
    </row>
    <row r="9" spans="1:27" ht="32" customHeight="1" x14ac:dyDescent="0.2">
      <c r="A9" s="1" t="s">
        <v>14</v>
      </c>
      <c r="B9" s="4" t="s">
        <v>15</v>
      </c>
      <c r="C9" s="3" t="s">
        <v>16</v>
      </c>
    </row>
    <row r="10" spans="1:27" ht="32" customHeight="1" x14ac:dyDescent="0.2">
      <c r="A10" s="1" t="s">
        <v>17</v>
      </c>
      <c r="B10" s="4" t="s">
        <v>12</v>
      </c>
      <c r="C10" s="3" t="s">
        <v>18</v>
      </c>
    </row>
    <row r="11" spans="1:27" ht="32" customHeight="1" x14ac:dyDescent="0.2">
      <c r="A11" s="1" t="s">
        <v>19</v>
      </c>
      <c r="B11" s="4" t="s">
        <v>15</v>
      </c>
      <c r="C11" s="3" t="s">
        <v>20</v>
      </c>
    </row>
    <row r="13" spans="1:27" x14ac:dyDescent="0.2">
      <c r="A13" s="37" t="s">
        <v>21</v>
      </c>
      <c r="B13" s="36"/>
      <c r="C13" s="36"/>
    </row>
    <row r="14" spans="1:27" ht="16" x14ac:dyDescent="0.2">
      <c r="A14" s="39" t="s">
        <v>22</v>
      </c>
      <c r="B14" s="40"/>
      <c r="C14" s="5">
        <f>SUM(K21:K32)+SUM(L21:L32)</f>
        <v>1260.1115</v>
      </c>
    </row>
    <row r="15" spans="1:27" ht="16" x14ac:dyDescent="0.2">
      <c r="A15" s="39" t="s">
        <v>23</v>
      </c>
      <c r="B15" s="40"/>
      <c r="C15" s="5">
        <f>SUM(M21:N32)+AA2</f>
        <v>109.5</v>
      </c>
    </row>
    <row r="16" spans="1:27" ht="16" x14ac:dyDescent="0.2">
      <c r="A16" s="39" t="s">
        <v>24</v>
      </c>
      <c r="B16" s="40"/>
      <c r="C16" s="5">
        <f>SUM(O21:O32)</f>
        <v>210</v>
      </c>
    </row>
    <row r="17" spans="1:15" ht="28" customHeight="1" x14ac:dyDescent="0.25">
      <c r="A17" s="42" t="s">
        <v>25</v>
      </c>
      <c r="B17" s="43"/>
      <c r="C17" s="7">
        <f>C14+C15+C16</f>
        <v>1579.6115</v>
      </c>
    </row>
    <row r="19" spans="1:15" ht="28" customHeight="1" x14ac:dyDescent="0.2">
      <c r="A19" s="45" t="s">
        <v>26</v>
      </c>
      <c r="B19" s="36"/>
      <c r="C19" s="36"/>
      <c r="D19" s="36"/>
      <c r="E19" s="36"/>
      <c r="F19" s="36"/>
      <c r="G19" s="36"/>
    </row>
    <row r="20" spans="1:15" ht="34" customHeight="1" x14ac:dyDescent="0.2">
      <c r="A20" s="8" t="s">
        <v>27</v>
      </c>
      <c r="B20" s="8" t="s">
        <v>28</v>
      </c>
      <c r="C20" s="8" t="s">
        <v>29</v>
      </c>
      <c r="D20" s="8" t="s">
        <v>30</v>
      </c>
      <c r="E20" s="8" t="s">
        <v>31</v>
      </c>
      <c r="F20" s="8" t="s">
        <v>32</v>
      </c>
      <c r="G20" s="8" t="s">
        <v>33</v>
      </c>
      <c r="H20" s="8" t="s">
        <v>34</v>
      </c>
    </row>
    <row r="21" spans="1:15" ht="16" x14ac:dyDescent="0.2">
      <c r="A21" s="9" t="s">
        <v>35</v>
      </c>
      <c r="B21" s="2">
        <v>3</v>
      </c>
      <c r="C21" s="10">
        <v>15000</v>
      </c>
      <c r="D21" s="11"/>
      <c r="E21" s="12" t="str">
        <f>IF(A21="","",IFERROR(INDEX('Tarifas oficiales'!$B$4:$B$101,MATCH(A21,'Tarifas oficiales'!$C$4:$C$101,0)),""))</f>
        <v>Source</v>
      </c>
      <c r="F21" s="13">
        <f t="shared" ref="F21:F32" si="0">K21+L21+M21+N21</f>
        <v>497.31149999999997</v>
      </c>
      <c r="G21" s="14">
        <f t="shared" ref="G21:G32" si="1">F21+O21</f>
        <v>707.31150000000002</v>
      </c>
      <c r="H21" s="3" t="str">
        <f t="shared" ref="H21:H32" si="2">IF(A21="","",IF(NOT(ISNUMBER(I21)),"⚠ Contact us: pon el $/tarea·h en Override (columna D)",IF(E21="Sink","Sink: sale del cluster. Ingress = 0.","Source: escribe a Confluent Cloud.")))</f>
        <v>Source: escribe a Confluent Cloud.</v>
      </c>
      <c r="I21" s="15">
        <f>IF(A21="","",IF(D21&lt;&gt;"",D21,IFERROR(IF($B$6="Min",INDEX('Tarifas oficiales'!$D$4:$D$101,MATCH(A21,'Tarifas oficiales'!$C$4:$C$101,0)),IF($B$6="Max",INDEX('Tarifas oficiales'!$E$4:$E$101,MATCH(A21,'Tarifas oficiales'!$C$4:$C$101,0)),INDEX('Tarifas oficiales'!$F$4:$F$101,MATCH(A21,'Tarifas oficiales'!$C$4:$C$101,0)))),"")))</f>
        <v>2.5850000000000001E-2</v>
      </c>
      <c r="J21" s="16">
        <f>IF(A21="","",IFERROR(INDEX('Tarifas oficiales'!$G$4:$G$101,MATCH(A21,'Tarifas oficiales'!$C$4:$C$101,0)),0.025))</f>
        <v>2.5000000000000001E-2</v>
      </c>
      <c r="K21" s="17">
        <f t="shared" ref="K21:K32" si="3">IF(OR(A21="",B21="",NOT(ISNUMBER(I21))),0,B21*I21*$B$5)</f>
        <v>56.611500000000007</v>
      </c>
      <c r="L21" s="17">
        <f t="shared" ref="L21:L32" si="4">IF(OR(A21="",C21="",NOT(ISNUMBER(J21))),0,C21*J21)</f>
        <v>375</v>
      </c>
      <c r="M21" s="17">
        <f t="shared" ref="M21:M32" si="5">IF(OR(A21="",B21=""),0,IF(OR($B$10="Sí",$B$10="Si"),B21*0.03*$B$5,0))</f>
        <v>65.7</v>
      </c>
      <c r="N21" s="17">
        <f t="shared" ref="N21:N32" si="6">IF(OR(A21="",B21=""),0,IF(OR($B$11="Sí",$B$11="Si"),B21*0.05*$B$5,0))</f>
        <v>0</v>
      </c>
      <c r="O21" s="17">
        <f t="shared" ref="O21:O32" si="7">IF(OR(A21="",C21="",NOT(OR($B$8="Sí",$B$8="Si"))),0,IF(ISNUMBER(SEARCH("Source",E21)),C21*$AA$1,0))</f>
        <v>210</v>
      </c>
    </row>
    <row r="22" spans="1:15" ht="16" x14ac:dyDescent="0.2">
      <c r="A22" s="9" t="s">
        <v>238</v>
      </c>
      <c r="B22" s="2">
        <v>2</v>
      </c>
      <c r="C22" s="10">
        <v>20000</v>
      </c>
      <c r="D22" s="11"/>
      <c r="E22" s="12" t="str">
        <f>IF(A22="","",IFERROR(INDEX('Tarifas oficiales'!$B$4:$B$101,MATCH(A22,'Tarifas oficiales'!$C$4:$C$101,0)),""))</f>
        <v>Sink</v>
      </c>
      <c r="F22" s="13">
        <f t="shared" si="0"/>
        <v>872.3</v>
      </c>
      <c r="G22" s="14">
        <f t="shared" si="1"/>
        <v>872.3</v>
      </c>
      <c r="H22" s="3" t="str">
        <f t="shared" si="2"/>
        <v>Sink: sale del cluster. Ingress = 0.</v>
      </c>
      <c r="I22" s="15">
        <f>IF(A22="","",IF(D22&lt;&gt;"",D22,IFERROR(IF($B$6="Min",INDEX('Tarifas oficiales'!$D$4:$D$101,MATCH(A22,'Tarifas oficiales'!$C$4:$C$101,0)),IF($B$6="Max",INDEX('Tarifas oficiales'!$E$4:$E$101,MATCH(A22,'Tarifas oficiales'!$C$4:$C$101,0)),INDEX('Tarifas oficiales'!$F$4:$F$101,MATCH(A22,'Tarifas oficiales'!$C$4:$C$101,0)))),"")))</f>
        <v>0.22500000000000001</v>
      </c>
      <c r="J22" s="16">
        <f>IF(A22="","",IFERROR(INDEX('Tarifas oficiales'!$G$4:$G$101,MATCH(A22,'Tarifas oficiales'!$C$4:$C$101,0)),0.025))</f>
        <v>2.5000000000000001E-2</v>
      </c>
      <c r="K22" s="17">
        <f t="shared" si="3"/>
        <v>328.5</v>
      </c>
      <c r="L22" s="17">
        <f t="shared" si="4"/>
        <v>500</v>
      </c>
      <c r="M22" s="17">
        <f t="shared" si="5"/>
        <v>43.8</v>
      </c>
      <c r="N22" s="17">
        <f t="shared" si="6"/>
        <v>0</v>
      </c>
      <c r="O22" s="17">
        <f t="shared" si="7"/>
        <v>0</v>
      </c>
    </row>
    <row r="23" spans="1:15" ht="16" x14ac:dyDescent="0.2">
      <c r="A23" s="9"/>
      <c r="B23" s="2"/>
      <c r="C23" s="10"/>
      <c r="D23" s="11"/>
      <c r="E23" s="12" t="str">
        <f>IF(A23="","",IFERROR(INDEX('Tarifas oficiales'!$B$4:$B$101,MATCH(A23,'Tarifas oficiales'!$C$4:$C$101,0)),""))</f>
        <v/>
      </c>
      <c r="F23" s="13">
        <f t="shared" si="0"/>
        <v>0</v>
      </c>
      <c r="G23" s="14">
        <f t="shared" si="1"/>
        <v>0</v>
      </c>
      <c r="H23" s="3" t="str">
        <f t="shared" si="2"/>
        <v/>
      </c>
      <c r="I23" s="15" t="str">
        <f>IF(A23="","",IF(D23&lt;&gt;"",D23,IFERROR(IF($B$6="Min",INDEX('Tarifas oficiales'!$D$4:$D$101,MATCH(A23,'Tarifas oficiales'!$C$4:$C$101,0)),IF($B$6="Max",INDEX('Tarifas oficiales'!$E$4:$E$101,MATCH(A23,'Tarifas oficiales'!$C$4:$C$101,0)),INDEX('Tarifas oficiales'!$F$4:$F$101,MATCH(A23,'Tarifas oficiales'!$C$4:$C$101,0)))),"")))</f>
        <v/>
      </c>
      <c r="J23" s="16" t="str">
        <f>IF(A23="","",IFERROR(INDEX('Tarifas oficiales'!$G$4:$G$101,MATCH(A23,'Tarifas oficiales'!$C$4:$C$101,0)),0.025))</f>
        <v/>
      </c>
      <c r="K23" s="17">
        <f t="shared" si="3"/>
        <v>0</v>
      </c>
      <c r="L23" s="17">
        <f t="shared" si="4"/>
        <v>0</v>
      </c>
      <c r="M23" s="17">
        <f t="shared" si="5"/>
        <v>0</v>
      </c>
      <c r="N23" s="17">
        <f t="shared" si="6"/>
        <v>0</v>
      </c>
      <c r="O23" s="17">
        <f t="shared" si="7"/>
        <v>0</v>
      </c>
    </row>
    <row r="24" spans="1:15" ht="16" x14ac:dyDescent="0.2">
      <c r="A24" s="9"/>
      <c r="B24" s="2"/>
      <c r="C24" s="10"/>
      <c r="D24" s="11"/>
      <c r="E24" s="12" t="str">
        <f>IF(A24="","",IFERROR(INDEX('Tarifas oficiales'!$B$4:$B$101,MATCH(A24,'Tarifas oficiales'!$C$4:$C$101,0)),""))</f>
        <v/>
      </c>
      <c r="F24" s="13">
        <f t="shared" si="0"/>
        <v>0</v>
      </c>
      <c r="G24" s="14">
        <f t="shared" si="1"/>
        <v>0</v>
      </c>
      <c r="H24" s="3" t="str">
        <f t="shared" si="2"/>
        <v/>
      </c>
      <c r="I24" s="15" t="str">
        <f>IF(A24="","",IF(D24&lt;&gt;"",D24,IFERROR(IF($B$6="Min",INDEX('Tarifas oficiales'!$D$4:$D$101,MATCH(A24,'Tarifas oficiales'!$C$4:$C$101,0)),IF($B$6="Max",INDEX('Tarifas oficiales'!$E$4:$E$101,MATCH(A24,'Tarifas oficiales'!$C$4:$C$101,0)),INDEX('Tarifas oficiales'!$F$4:$F$101,MATCH(A24,'Tarifas oficiales'!$C$4:$C$101,0)))),"")))</f>
        <v/>
      </c>
      <c r="J24" s="16" t="str">
        <f>IF(A24="","",IFERROR(INDEX('Tarifas oficiales'!$G$4:$G$101,MATCH(A24,'Tarifas oficiales'!$C$4:$C$101,0)),0.025))</f>
        <v/>
      </c>
      <c r="K24" s="17">
        <f t="shared" si="3"/>
        <v>0</v>
      </c>
      <c r="L24" s="17">
        <f t="shared" si="4"/>
        <v>0</v>
      </c>
      <c r="M24" s="17">
        <f t="shared" si="5"/>
        <v>0</v>
      </c>
      <c r="N24" s="17">
        <f t="shared" si="6"/>
        <v>0</v>
      </c>
      <c r="O24" s="17">
        <f t="shared" si="7"/>
        <v>0</v>
      </c>
    </row>
    <row r="25" spans="1:15" ht="16" x14ac:dyDescent="0.2">
      <c r="A25" s="9"/>
      <c r="B25" s="2"/>
      <c r="C25" s="10"/>
      <c r="D25" s="11"/>
      <c r="E25" s="12" t="str">
        <f>IF(A25="","",IFERROR(INDEX('Tarifas oficiales'!$B$4:$B$101,MATCH(A25,'Tarifas oficiales'!$C$4:$C$101,0)),""))</f>
        <v/>
      </c>
      <c r="F25" s="13">
        <f t="shared" si="0"/>
        <v>0</v>
      </c>
      <c r="G25" s="14">
        <f t="shared" si="1"/>
        <v>0</v>
      </c>
      <c r="H25" s="3" t="str">
        <f t="shared" si="2"/>
        <v/>
      </c>
      <c r="I25" s="15" t="str">
        <f>IF(A25="","",IF(D25&lt;&gt;"",D25,IFERROR(IF($B$6="Min",INDEX('Tarifas oficiales'!$D$4:$D$101,MATCH(A25,'Tarifas oficiales'!$C$4:$C$101,0)),IF($B$6="Max",INDEX('Tarifas oficiales'!$E$4:$E$101,MATCH(A25,'Tarifas oficiales'!$C$4:$C$101,0)),INDEX('Tarifas oficiales'!$F$4:$F$101,MATCH(A25,'Tarifas oficiales'!$C$4:$C$101,0)))),"")))</f>
        <v/>
      </c>
      <c r="J25" s="16" t="str">
        <f>IF(A25="","",IFERROR(INDEX('Tarifas oficiales'!$G$4:$G$101,MATCH(A25,'Tarifas oficiales'!$C$4:$C$101,0)),0.025))</f>
        <v/>
      </c>
      <c r="K25" s="17">
        <f t="shared" si="3"/>
        <v>0</v>
      </c>
      <c r="L25" s="17">
        <f t="shared" si="4"/>
        <v>0</v>
      </c>
      <c r="M25" s="17">
        <f t="shared" si="5"/>
        <v>0</v>
      </c>
      <c r="N25" s="17">
        <f t="shared" si="6"/>
        <v>0</v>
      </c>
      <c r="O25" s="17">
        <f t="shared" si="7"/>
        <v>0</v>
      </c>
    </row>
    <row r="26" spans="1:15" ht="16" x14ac:dyDescent="0.2">
      <c r="A26" s="9"/>
      <c r="B26" s="2"/>
      <c r="C26" s="10"/>
      <c r="D26" s="11"/>
      <c r="E26" s="12" t="str">
        <f>IF(A26="","",IFERROR(INDEX('Tarifas oficiales'!$B$4:$B$101,MATCH(A26,'Tarifas oficiales'!$C$4:$C$101,0)),""))</f>
        <v/>
      </c>
      <c r="F26" s="13">
        <f t="shared" si="0"/>
        <v>0</v>
      </c>
      <c r="G26" s="14">
        <f t="shared" si="1"/>
        <v>0</v>
      </c>
      <c r="H26" s="3" t="str">
        <f t="shared" si="2"/>
        <v/>
      </c>
      <c r="I26" s="15" t="str">
        <f>IF(A26="","",IF(D26&lt;&gt;"",D26,IFERROR(IF($B$6="Min",INDEX('Tarifas oficiales'!$D$4:$D$101,MATCH(A26,'Tarifas oficiales'!$C$4:$C$101,0)),IF($B$6="Max",INDEX('Tarifas oficiales'!$E$4:$E$101,MATCH(A26,'Tarifas oficiales'!$C$4:$C$101,0)),INDEX('Tarifas oficiales'!$F$4:$F$101,MATCH(A26,'Tarifas oficiales'!$C$4:$C$101,0)))),"")))</f>
        <v/>
      </c>
      <c r="J26" s="16" t="str">
        <f>IF(A26="","",IFERROR(INDEX('Tarifas oficiales'!$G$4:$G$101,MATCH(A26,'Tarifas oficiales'!$C$4:$C$101,0)),0.025))</f>
        <v/>
      </c>
      <c r="K26" s="17">
        <f t="shared" si="3"/>
        <v>0</v>
      </c>
      <c r="L26" s="17">
        <f t="shared" si="4"/>
        <v>0</v>
      </c>
      <c r="M26" s="17">
        <f t="shared" si="5"/>
        <v>0</v>
      </c>
      <c r="N26" s="17">
        <f t="shared" si="6"/>
        <v>0</v>
      </c>
      <c r="O26" s="17">
        <f t="shared" si="7"/>
        <v>0</v>
      </c>
    </row>
    <row r="27" spans="1:15" ht="16" x14ac:dyDescent="0.2">
      <c r="A27" s="9"/>
      <c r="B27" s="2"/>
      <c r="C27" s="10"/>
      <c r="D27" s="11"/>
      <c r="E27" s="12" t="str">
        <f>IF(A27="","",IFERROR(INDEX('Tarifas oficiales'!$B$4:$B$101,MATCH(A27,'Tarifas oficiales'!$C$4:$C$101,0)),""))</f>
        <v/>
      </c>
      <c r="F27" s="13">
        <f t="shared" si="0"/>
        <v>0</v>
      </c>
      <c r="G27" s="14">
        <f t="shared" si="1"/>
        <v>0</v>
      </c>
      <c r="H27" s="3" t="str">
        <f t="shared" si="2"/>
        <v/>
      </c>
      <c r="I27" s="15" t="str">
        <f>IF(A27="","",IF(D27&lt;&gt;"",D27,IFERROR(IF($B$6="Min",INDEX('Tarifas oficiales'!$D$4:$D$101,MATCH(A27,'Tarifas oficiales'!$C$4:$C$101,0)),IF($B$6="Max",INDEX('Tarifas oficiales'!$E$4:$E$101,MATCH(A27,'Tarifas oficiales'!$C$4:$C$101,0)),INDEX('Tarifas oficiales'!$F$4:$F$101,MATCH(A27,'Tarifas oficiales'!$C$4:$C$101,0)))),"")))</f>
        <v/>
      </c>
      <c r="J27" s="16" t="str">
        <f>IF(A27="","",IFERROR(INDEX('Tarifas oficiales'!$G$4:$G$101,MATCH(A27,'Tarifas oficiales'!$C$4:$C$101,0)),0.025))</f>
        <v/>
      </c>
      <c r="K27" s="17">
        <f t="shared" si="3"/>
        <v>0</v>
      </c>
      <c r="L27" s="17">
        <f t="shared" si="4"/>
        <v>0</v>
      </c>
      <c r="M27" s="17">
        <f t="shared" si="5"/>
        <v>0</v>
      </c>
      <c r="N27" s="17">
        <f t="shared" si="6"/>
        <v>0</v>
      </c>
      <c r="O27" s="17">
        <f t="shared" si="7"/>
        <v>0</v>
      </c>
    </row>
    <row r="28" spans="1:15" ht="16" x14ac:dyDescent="0.2">
      <c r="A28" s="9"/>
      <c r="B28" s="2"/>
      <c r="C28" s="10"/>
      <c r="D28" s="11"/>
      <c r="E28" s="12" t="str">
        <f>IF(A28="","",IFERROR(INDEX('Tarifas oficiales'!$B$4:$B$101,MATCH(A28,'Tarifas oficiales'!$C$4:$C$101,0)),""))</f>
        <v/>
      </c>
      <c r="F28" s="13">
        <f t="shared" si="0"/>
        <v>0</v>
      </c>
      <c r="G28" s="14">
        <f t="shared" si="1"/>
        <v>0</v>
      </c>
      <c r="H28" s="3" t="str">
        <f t="shared" si="2"/>
        <v/>
      </c>
      <c r="I28" s="15" t="str">
        <f>IF(A28="","",IF(D28&lt;&gt;"",D28,IFERROR(IF($B$6="Min",INDEX('Tarifas oficiales'!$D$4:$D$101,MATCH(A28,'Tarifas oficiales'!$C$4:$C$101,0)),IF($B$6="Max",INDEX('Tarifas oficiales'!$E$4:$E$101,MATCH(A28,'Tarifas oficiales'!$C$4:$C$101,0)),INDEX('Tarifas oficiales'!$F$4:$F$101,MATCH(A28,'Tarifas oficiales'!$C$4:$C$101,0)))),"")))</f>
        <v/>
      </c>
      <c r="J28" s="16" t="str">
        <f>IF(A28="","",IFERROR(INDEX('Tarifas oficiales'!$G$4:$G$101,MATCH(A28,'Tarifas oficiales'!$C$4:$C$101,0)),0.025))</f>
        <v/>
      </c>
      <c r="K28" s="17">
        <f t="shared" si="3"/>
        <v>0</v>
      </c>
      <c r="L28" s="17">
        <f t="shared" si="4"/>
        <v>0</v>
      </c>
      <c r="M28" s="17">
        <f t="shared" si="5"/>
        <v>0</v>
      </c>
      <c r="N28" s="17">
        <f t="shared" si="6"/>
        <v>0</v>
      </c>
      <c r="O28" s="17">
        <f t="shared" si="7"/>
        <v>0</v>
      </c>
    </row>
    <row r="29" spans="1:15" ht="16" x14ac:dyDescent="0.2">
      <c r="A29" s="9"/>
      <c r="B29" s="2"/>
      <c r="C29" s="10"/>
      <c r="D29" s="11"/>
      <c r="E29" s="12" t="str">
        <f>IF(A29="","",IFERROR(INDEX('Tarifas oficiales'!$B$4:$B$101,MATCH(A29,'Tarifas oficiales'!$C$4:$C$101,0)),""))</f>
        <v/>
      </c>
      <c r="F29" s="13">
        <f t="shared" si="0"/>
        <v>0</v>
      </c>
      <c r="G29" s="14">
        <f t="shared" si="1"/>
        <v>0</v>
      </c>
      <c r="H29" s="3" t="str">
        <f t="shared" si="2"/>
        <v/>
      </c>
      <c r="I29" s="15" t="str">
        <f>IF(A29="","",IF(D29&lt;&gt;"",D29,IFERROR(IF($B$6="Min",INDEX('Tarifas oficiales'!$D$4:$D$101,MATCH(A29,'Tarifas oficiales'!$C$4:$C$101,0)),IF($B$6="Max",INDEX('Tarifas oficiales'!$E$4:$E$101,MATCH(A29,'Tarifas oficiales'!$C$4:$C$101,0)),INDEX('Tarifas oficiales'!$F$4:$F$101,MATCH(A29,'Tarifas oficiales'!$C$4:$C$101,0)))),"")))</f>
        <v/>
      </c>
      <c r="J29" s="16" t="str">
        <f>IF(A29="","",IFERROR(INDEX('Tarifas oficiales'!$G$4:$G$101,MATCH(A29,'Tarifas oficiales'!$C$4:$C$101,0)),0.025))</f>
        <v/>
      </c>
      <c r="K29" s="17">
        <f t="shared" si="3"/>
        <v>0</v>
      </c>
      <c r="L29" s="17">
        <f t="shared" si="4"/>
        <v>0</v>
      </c>
      <c r="M29" s="17">
        <f t="shared" si="5"/>
        <v>0</v>
      </c>
      <c r="N29" s="17">
        <f t="shared" si="6"/>
        <v>0</v>
      </c>
      <c r="O29" s="17">
        <f t="shared" si="7"/>
        <v>0</v>
      </c>
    </row>
    <row r="30" spans="1:15" ht="16" x14ac:dyDescent="0.2">
      <c r="A30" s="9"/>
      <c r="B30" s="2"/>
      <c r="C30" s="10"/>
      <c r="D30" s="11"/>
      <c r="E30" s="12" t="str">
        <f>IF(A30="","",IFERROR(INDEX('Tarifas oficiales'!$B$4:$B$101,MATCH(A30,'Tarifas oficiales'!$C$4:$C$101,0)),""))</f>
        <v/>
      </c>
      <c r="F30" s="13">
        <f t="shared" si="0"/>
        <v>0</v>
      </c>
      <c r="G30" s="14">
        <f t="shared" si="1"/>
        <v>0</v>
      </c>
      <c r="H30" s="3" t="str">
        <f t="shared" si="2"/>
        <v/>
      </c>
      <c r="I30" s="15" t="str">
        <f>IF(A30="","",IF(D30&lt;&gt;"",D30,IFERROR(IF($B$6="Min",INDEX('Tarifas oficiales'!$D$4:$D$101,MATCH(A30,'Tarifas oficiales'!$C$4:$C$101,0)),IF($B$6="Max",INDEX('Tarifas oficiales'!$E$4:$E$101,MATCH(A30,'Tarifas oficiales'!$C$4:$C$101,0)),INDEX('Tarifas oficiales'!$F$4:$F$101,MATCH(A30,'Tarifas oficiales'!$C$4:$C$101,0)))),"")))</f>
        <v/>
      </c>
      <c r="J30" s="16" t="str">
        <f>IF(A30="","",IFERROR(INDEX('Tarifas oficiales'!$G$4:$G$101,MATCH(A30,'Tarifas oficiales'!$C$4:$C$101,0)),0.025))</f>
        <v/>
      </c>
      <c r="K30" s="17">
        <f t="shared" si="3"/>
        <v>0</v>
      </c>
      <c r="L30" s="17">
        <f t="shared" si="4"/>
        <v>0</v>
      </c>
      <c r="M30" s="17">
        <f t="shared" si="5"/>
        <v>0</v>
      </c>
      <c r="N30" s="17">
        <f t="shared" si="6"/>
        <v>0</v>
      </c>
      <c r="O30" s="17">
        <f t="shared" si="7"/>
        <v>0</v>
      </c>
    </row>
    <row r="31" spans="1:15" ht="16" x14ac:dyDescent="0.2">
      <c r="A31" s="9"/>
      <c r="B31" s="2"/>
      <c r="C31" s="10"/>
      <c r="D31" s="11"/>
      <c r="E31" s="12" t="str">
        <f>IF(A31="","",IFERROR(INDEX('Tarifas oficiales'!$B$4:$B$101,MATCH(A31,'Tarifas oficiales'!$C$4:$C$101,0)),""))</f>
        <v/>
      </c>
      <c r="F31" s="13">
        <f t="shared" si="0"/>
        <v>0</v>
      </c>
      <c r="G31" s="14">
        <f t="shared" si="1"/>
        <v>0</v>
      </c>
      <c r="H31" s="3" t="str">
        <f t="shared" si="2"/>
        <v/>
      </c>
      <c r="I31" s="15" t="str">
        <f>IF(A31="","",IF(D31&lt;&gt;"",D31,IFERROR(IF($B$6="Min",INDEX('Tarifas oficiales'!$D$4:$D$101,MATCH(A31,'Tarifas oficiales'!$C$4:$C$101,0)),IF($B$6="Max",INDEX('Tarifas oficiales'!$E$4:$E$101,MATCH(A31,'Tarifas oficiales'!$C$4:$C$101,0)),INDEX('Tarifas oficiales'!$F$4:$F$101,MATCH(A31,'Tarifas oficiales'!$C$4:$C$101,0)))),"")))</f>
        <v/>
      </c>
      <c r="J31" s="16" t="str">
        <f>IF(A31="","",IFERROR(INDEX('Tarifas oficiales'!$G$4:$G$101,MATCH(A31,'Tarifas oficiales'!$C$4:$C$101,0)),0.025))</f>
        <v/>
      </c>
      <c r="K31" s="17">
        <f t="shared" si="3"/>
        <v>0</v>
      </c>
      <c r="L31" s="17">
        <f t="shared" si="4"/>
        <v>0</v>
      </c>
      <c r="M31" s="17">
        <f t="shared" si="5"/>
        <v>0</v>
      </c>
      <c r="N31" s="17">
        <f t="shared" si="6"/>
        <v>0</v>
      </c>
      <c r="O31" s="17">
        <f t="shared" si="7"/>
        <v>0</v>
      </c>
    </row>
    <row r="32" spans="1:15" ht="16" x14ac:dyDescent="0.2">
      <c r="A32" s="9"/>
      <c r="B32" s="2"/>
      <c r="C32" s="10"/>
      <c r="D32" s="11"/>
      <c r="E32" s="12" t="str">
        <f>IF(A32="","",IFERROR(INDEX('Tarifas oficiales'!$B$4:$B$101,MATCH(A32,'Tarifas oficiales'!$C$4:$C$101,0)),""))</f>
        <v/>
      </c>
      <c r="F32" s="13">
        <f t="shared" si="0"/>
        <v>0</v>
      </c>
      <c r="G32" s="14">
        <f t="shared" si="1"/>
        <v>0</v>
      </c>
      <c r="H32" s="3" t="str">
        <f t="shared" si="2"/>
        <v/>
      </c>
      <c r="I32" s="15" t="str">
        <f>IF(A32="","",IF(D32&lt;&gt;"",D32,IFERROR(IF($B$6="Min",INDEX('Tarifas oficiales'!$D$4:$D$101,MATCH(A32,'Tarifas oficiales'!$C$4:$C$101,0)),IF($B$6="Max",INDEX('Tarifas oficiales'!$E$4:$E$101,MATCH(A32,'Tarifas oficiales'!$C$4:$C$101,0)),INDEX('Tarifas oficiales'!$F$4:$F$101,MATCH(A32,'Tarifas oficiales'!$C$4:$C$101,0)))),"")))</f>
        <v/>
      </c>
      <c r="J32" s="16" t="str">
        <f>IF(A32="","",IFERROR(INDEX('Tarifas oficiales'!$G$4:$G$101,MATCH(A32,'Tarifas oficiales'!$C$4:$C$101,0)),0.025))</f>
        <v/>
      </c>
      <c r="K32" s="17">
        <f t="shared" si="3"/>
        <v>0</v>
      </c>
      <c r="L32" s="17">
        <f t="shared" si="4"/>
        <v>0</v>
      </c>
      <c r="M32" s="17">
        <f t="shared" si="5"/>
        <v>0</v>
      </c>
      <c r="N32" s="17">
        <f t="shared" si="6"/>
        <v>0</v>
      </c>
      <c r="O32" s="17">
        <f t="shared" si="7"/>
        <v>0</v>
      </c>
    </row>
    <row r="33" spans="1:15" x14ac:dyDescent="0.2">
      <c r="A33" s="18" t="s">
        <v>36</v>
      </c>
      <c r="B33" s="19">
        <f>SUM(B21:B32)</f>
        <v>5</v>
      </c>
      <c r="C33" s="20">
        <f>SUM(C21:C32)</f>
        <v>35000</v>
      </c>
      <c r="D33" s="18"/>
      <c r="E33" s="18"/>
      <c r="F33" s="21">
        <f>SUM(F21:F32)</f>
        <v>1369.6115</v>
      </c>
      <c r="G33" s="21">
        <f>SUM(G21:G32)</f>
        <v>1579.6115</v>
      </c>
      <c r="K33">
        <f>SUM(K21:K32)</f>
        <v>385.11149999999998</v>
      </c>
      <c r="L33">
        <f>SUM(L21:L32)</f>
        <v>875</v>
      </c>
      <c r="M33">
        <f>SUM(M21:M32)</f>
        <v>109.5</v>
      </c>
      <c r="N33">
        <f>SUM(N21:N32)</f>
        <v>0</v>
      </c>
      <c r="O33">
        <f>SUM(O21:O32)</f>
        <v>210</v>
      </c>
    </row>
    <row r="35" spans="1:15" x14ac:dyDescent="0.2">
      <c r="A35" s="35" t="s">
        <v>37</v>
      </c>
      <c r="B35" s="36"/>
      <c r="C35" s="36"/>
      <c r="D35" s="36"/>
      <c r="E35" s="36"/>
      <c r="F35" s="36"/>
      <c r="G35" s="36"/>
    </row>
    <row r="36" spans="1:15" x14ac:dyDescent="0.2">
      <c r="A36" s="36"/>
      <c r="B36" s="36"/>
      <c r="C36" s="36"/>
      <c r="D36" s="36"/>
      <c r="E36" s="36"/>
      <c r="F36" s="36"/>
      <c r="G36" s="36"/>
    </row>
  </sheetData>
  <mergeCells count="10">
    <mergeCell ref="A35:G36"/>
    <mergeCell ref="A13:C13"/>
    <mergeCell ref="A1:G1"/>
    <mergeCell ref="A15:B15"/>
    <mergeCell ref="A16:B16"/>
    <mergeCell ref="A14:B14"/>
    <mergeCell ref="A2:G2"/>
    <mergeCell ref="A17:B17"/>
    <mergeCell ref="A4:C4"/>
    <mergeCell ref="A19:G19"/>
  </mergeCells>
  <dataValidations count="3">
    <dataValidation type="list" sqref="B6" xr:uid="{00000000-0002-0000-0000-000000000000}">
      <formula1>"Min,Media,Max"</formula1>
    </dataValidation>
    <dataValidation type="list" sqref="B8 B9 B10 B11" xr:uid="{00000000-0002-0000-0000-000001000000}">
      <formula1>"Sí,No"</formula1>
    </dataValidation>
    <dataValidation type="list" sqref="B7" xr:uid="{00000000-0002-0000-0000-000002000000}">
      <formula1>"Basic,Standard,Enterprise,Dedicated"</formula1>
    </dataValidation>
  </dataValidations>
  <pageMargins left="0.75" right="0.75" top="1" bottom="1" header="0.5" footer="0.5"/>
  <pageSetup orientation="landscape"/>
  <drawing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Conector" error="Elige un conector de la lista." xr:uid="{00000000-0002-0000-0000-000003000000}">
          <x14:formula1>
            <xm:f>'Tarifas oficiales'!$C$4:$C$101</xm:f>
          </x14:formula1>
          <xm:sqref>A21 A22 A23 A24 A25 A26 A27 A28 A29 A30 A31 A32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24"/>
  <sheetViews>
    <sheetView showGridLines="0" workbookViewId="0">
      <pane ySplit="5" topLeftCell="A6" activePane="bottomLeft" state="frozen"/>
      <selection pane="bottomLeft" sqref="A1:E1"/>
    </sheetView>
  </sheetViews>
  <sheetFormatPr baseColWidth="10" defaultColWidth="8.83203125" defaultRowHeight="15" x14ac:dyDescent="0.2"/>
  <cols>
    <col min="1" max="1" width="28" customWidth="1"/>
    <col min="2" max="4" width="42" customWidth="1"/>
    <col min="5" max="5" width="28" customWidth="1"/>
  </cols>
  <sheetData>
    <row r="1" spans="1:5" ht="34" customHeight="1" x14ac:dyDescent="0.2">
      <c r="A1" s="38" t="s">
        <v>38</v>
      </c>
      <c r="B1" s="36"/>
      <c r="C1" s="36"/>
      <c r="D1" s="36"/>
      <c r="E1" s="36"/>
    </row>
    <row r="2" spans="1:5" ht="36" customHeight="1" x14ac:dyDescent="0.2">
      <c r="A2" s="41" t="s">
        <v>39</v>
      </c>
      <c r="B2" s="36"/>
      <c r="C2" s="36"/>
      <c r="D2" s="36"/>
      <c r="E2" s="36"/>
    </row>
    <row r="4" spans="1:5" ht="16" x14ac:dyDescent="0.2">
      <c r="A4" s="46" t="s">
        <v>40</v>
      </c>
      <c r="B4" s="36"/>
      <c r="C4" s="36"/>
      <c r="D4" s="36"/>
      <c r="E4" s="36"/>
    </row>
    <row r="5" spans="1:5" ht="28" customHeight="1" x14ac:dyDescent="0.2">
      <c r="A5" s="8" t="s">
        <v>41</v>
      </c>
      <c r="B5" s="8" t="s">
        <v>42</v>
      </c>
      <c r="C5" s="8" t="s">
        <v>43</v>
      </c>
      <c r="D5" s="8" t="s">
        <v>44</v>
      </c>
      <c r="E5" s="8" t="s">
        <v>45</v>
      </c>
    </row>
    <row r="6" spans="1:5" ht="78" customHeight="1" x14ac:dyDescent="0.2">
      <c r="A6" s="22" t="s">
        <v>3</v>
      </c>
      <c r="B6" s="23" t="s">
        <v>46</v>
      </c>
      <c r="C6" s="23" t="s">
        <v>47</v>
      </c>
      <c r="D6" s="23" t="s">
        <v>48</v>
      </c>
      <c r="E6" s="23" t="s">
        <v>49</v>
      </c>
    </row>
    <row r="7" spans="1:5" ht="78" customHeight="1" x14ac:dyDescent="0.2">
      <c r="A7" s="22" t="s">
        <v>5</v>
      </c>
      <c r="B7" s="23" t="s">
        <v>50</v>
      </c>
      <c r="C7" s="23" t="s">
        <v>51</v>
      </c>
      <c r="D7" s="23" t="s">
        <v>52</v>
      </c>
      <c r="E7" s="23" t="s">
        <v>53</v>
      </c>
    </row>
    <row r="8" spans="1:5" ht="78" customHeight="1" x14ac:dyDescent="0.2">
      <c r="A8" s="22" t="s">
        <v>8</v>
      </c>
      <c r="B8" s="23" t="s">
        <v>54</v>
      </c>
      <c r="C8" s="23" t="s">
        <v>55</v>
      </c>
      <c r="D8" s="23" t="s">
        <v>56</v>
      </c>
      <c r="E8" s="23" t="s">
        <v>57</v>
      </c>
    </row>
    <row r="9" spans="1:5" ht="78" customHeight="1" x14ac:dyDescent="0.2">
      <c r="A9" s="22" t="s">
        <v>11</v>
      </c>
      <c r="B9" s="23" t="s">
        <v>58</v>
      </c>
      <c r="C9" s="23" t="s">
        <v>59</v>
      </c>
      <c r="D9" s="23" t="s">
        <v>60</v>
      </c>
      <c r="E9" s="23" t="s">
        <v>61</v>
      </c>
    </row>
    <row r="10" spans="1:5" ht="78" customHeight="1" x14ac:dyDescent="0.2">
      <c r="A10" s="22" t="s">
        <v>14</v>
      </c>
      <c r="B10" s="23" t="s">
        <v>62</v>
      </c>
      <c r="C10" s="23" t="s">
        <v>63</v>
      </c>
      <c r="D10" s="23" t="s">
        <v>64</v>
      </c>
      <c r="E10" s="23" t="s">
        <v>65</v>
      </c>
    </row>
    <row r="11" spans="1:5" ht="78" customHeight="1" x14ac:dyDescent="0.2">
      <c r="A11" s="22" t="s">
        <v>17</v>
      </c>
      <c r="B11" s="23" t="s">
        <v>66</v>
      </c>
      <c r="C11" s="23" t="s">
        <v>67</v>
      </c>
      <c r="D11" s="23" t="s">
        <v>68</v>
      </c>
      <c r="E11" s="23" t="s">
        <v>69</v>
      </c>
    </row>
    <row r="12" spans="1:5" ht="78" customHeight="1" x14ac:dyDescent="0.2">
      <c r="A12" s="22" t="s">
        <v>19</v>
      </c>
      <c r="B12" s="23" t="s">
        <v>70</v>
      </c>
      <c r="C12" s="23" t="s">
        <v>71</v>
      </c>
      <c r="D12" s="23" t="s">
        <v>72</v>
      </c>
      <c r="E12" s="23" t="s">
        <v>73</v>
      </c>
    </row>
    <row r="14" spans="1:5" ht="16" x14ac:dyDescent="0.2">
      <c r="A14" s="46" t="s">
        <v>74</v>
      </c>
      <c r="B14" s="36"/>
      <c r="C14" s="36"/>
      <c r="D14" s="36"/>
      <c r="E14" s="36"/>
    </row>
    <row r="15" spans="1:5" ht="16" x14ac:dyDescent="0.2">
      <c r="A15" s="8" t="s">
        <v>41</v>
      </c>
      <c r="B15" s="8" t="s">
        <v>42</v>
      </c>
      <c r="C15" s="8" t="s">
        <v>43</v>
      </c>
      <c r="D15" s="8" t="s">
        <v>44</v>
      </c>
      <c r="E15" s="8" t="s">
        <v>45</v>
      </c>
    </row>
    <row r="16" spans="1:5" ht="72" customHeight="1" x14ac:dyDescent="0.2">
      <c r="A16" s="22" t="s">
        <v>75</v>
      </c>
      <c r="B16" s="23" t="s">
        <v>76</v>
      </c>
      <c r="C16" s="23" t="s">
        <v>77</v>
      </c>
      <c r="D16" s="23" t="s">
        <v>78</v>
      </c>
      <c r="E16" s="23" t="s">
        <v>79</v>
      </c>
    </row>
    <row r="17" spans="1:5" ht="72" customHeight="1" x14ac:dyDescent="0.2">
      <c r="A17" s="22" t="s">
        <v>28</v>
      </c>
      <c r="B17" s="23" t="s">
        <v>80</v>
      </c>
      <c r="C17" s="23" t="s">
        <v>81</v>
      </c>
      <c r="D17" s="23" t="s">
        <v>82</v>
      </c>
      <c r="E17" s="23" t="s">
        <v>83</v>
      </c>
    </row>
    <row r="18" spans="1:5" ht="72" customHeight="1" x14ac:dyDescent="0.2">
      <c r="A18" s="22" t="s">
        <v>29</v>
      </c>
      <c r="B18" s="23" t="s">
        <v>84</v>
      </c>
      <c r="C18" s="23" t="s">
        <v>85</v>
      </c>
      <c r="D18" s="23" t="s">
        <v>86</v>
      </c>
      <c r="E18" s="23" t="s">
        <v>87</v>
      </c>
    </row>
    <row r="19" spans="1:5" ht="72" customHeight="1" x14ac:dyDescent="0.2">
      <c r="A19" s="22" t="s">
        <v>88</v>
      </c>
      <c r="B19" s="23" t="s">
        <v>89</v>
      </c>
      <c r="C19" s="23" t="s">
        <v>90</v>
      </c>
      <c r="D19" s="23" t="s">
        <v>91</v>
      </c>
      <c r="E19" s="23" t="s">
        <v>92</v>
      </c>
    </row>
    <row r="20" spans="1:5" ht="72" customHeight="1" x14ac:dyDescent="0.2">
      <c r="A20" s="22" t="s">
        <v>93</v>
      </c>
      <c r="B20" s="23" t="s">
        <v>94</v>
      </c>
      <c r="C20" s="23" t="s">
        <v>95</v>
      </c>
      <c r="D20" s="23" t="s">
        <v>96</v>
      </c>
      <c r="E20" s="23" t="s">
        <v>97</v>
      </c>
    </row>
    <row r="22" spans="1:5" x14ac:dyDescent="0.2">
      <c r="A22" s="47" t="s">
        <v>98</v>
      </c>
      <c r="B22" s="36"/>
      <c r="C22" s="36"/>
      <c r="D22" s="36"/>
      <c r="E22" s="36"/>
    </row>
    <row r="23" spans="1:5" x14ac:dyDescent="0.2">
      <c r="A23" s="36"/>
      <c r="B23" s="36"/>
      <c r="C23" s="36"/>
      <c r="D23" s="36"/>
      <c r="E23" s="36"/>
    </row>
    <row r="24" spans="1:5" x14ac:dyDescent="0.2">
      <c r="A24" s="36"/>
      <c r="B24" s="36"/>
      <c r="C24" s="36"/>
      <c r="D24" s="36"/>
      <c r="E24" s="36"/>
    </row>
  </sheetData>
  <mergeCells count="5">
    <mergeCell ref="A4:E4"/>
    <mergeCell ref="A2:E2"/>
    <mergeCell ref="A1:E1"/>
    <mergeCell ref="A14:E14"/>
    <mergeCell ref="A22:E24"/>
  </mergeCells>
  <printOptions horizontalCentered="1"/>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1"/>
  <sheetViews>
    <sheetView workbookViewId="0">
      <pane ySplit="3" topLeftCell="A4" activePane="bottomLeft" state="frozen"/>
      <selection pane="bottomLeft" sqref="A1:G1"/>
    </sheetView>
  </sheetViews>
  <sheetFormatPr baseColWidth="10" defaultColWidth="8.83203125" defaultRowHeight="15" x14ac:dyDescent="0.2"/>
  <cols>
    <col min="1" max="1" width="42" customWidth="1"/>
    <col min="2" max="2" width="16" customWidth="1"/>
    <col min="3" max="3" width="48" customWidth="1"/>
    <col min="4" max="5" width="20" customWidth="1"/>
    <col min="6" max="6" width="22" customWidth="1"/>
    <col min="7" max="7" width="20" customWidth="1"/>
    <col min="9" max="9" width="42" customWidth="1"/>
    <col min="10" max="10" width="14" customWidth="1"/>
    <col min="11" max="11" width="55" customWidth="1"/>
  </cols>
  <sheetData>
    <row r="1" spans="1:11" ht="28" customHeight="1" x14ac:dyDescent="0.2">
      <c r="A1" s="50" t="s">
        <v>99</v>
      </c>
      <c r="B1" s="36"/>
      <c r="C1" s="36"/>
      <c r="D1" s="36"/>
      <c r="E1" s="36"/>
      <c r="F1" s="36"/>
      <c r="G1" s="36"/>
    </row>
    <row r="2" spans="1:11" ht="32" customHeight="1" x14ac:dyDescent="0.2">
      <c r="A2" s="49" t="s">
        <v>100</v>
      </c>
      <c r="B2" s="36"/>
      <c r="C2" s="36"/>
      <c r="D2" s="36"/>
      <c r="E2" s="36"/>
      <c r="F2" s="36"/>
      <c r="G2" s="36"/>
    </row>
    <row r="3" spans="1:11" ht="32" customHeight="1" x14ac:dyDescent="0.2">
      <c r="A3" s="8" t="s">
        <v>75</v>
      </c>
      <c r="B3" s="8" t="s">
        <v>31</v>
      </c>
      <c r="C3" s="8" t="s">
        <v>101</v>
      </c>
      <c r="D3" s="8" t="s">
        <v>102</v>
      </c>
      <c r="E3" s="8" t="s">
        <v>103</v>
      </c>
      <c r="F3" s="8" t="s">
        <v>104</v>
      </c>
      <c r="G3" s="8" t="s">
        <v>105</v>
      </c>
      <c r="I3" s="48" t="s">
        <v>106</v>
      </c>
      <c r="J3" s="36"/>
      <c r="K3" s="36"/>
    </row>
    <row r="4" spans="1:11" x14ac:dyDescent="0.2">
      <c r="A4" s="6" t="s">
        <v>107</v>
      </c>
      <c r="B4" s="24" t="s">
        <v>108</v>
      </c>
      <c r="C4" s="25" t="s">
        <v>109</v>
      </c>
      <c r="D4" s="26">
        <v>0.1</v>
      </c>
      <c r="E4" s="26">
        <v>0.2</v>
      </c>
      <c r="F4" s="26">
        <v>0.15</v>
      </c>
      <c r="G4" s="27">
        <v>2.5000000000000001E-2</v>
      </c>
      <c r="I4" s="28" t="s">
        <v>110</v>
      </c>
      <c r="J4" s="28" t="s">
        <v>111</v>
      </c>
      <c r="K4" s="28" t="s">
        <v>34</v>
      </c>
    </row>
    <row r="5" spans="1:11" x14ac:dyDescent="0.2">
      <c r="A5" s="6" t="s">
        <v>112</v>
      </c>
      <c r="B5" s="29" t="s">
        <v>113</v>
      </c>
      <c r="C5" s="25" t="s">
        <v>114</v>
      </c>
      <c r="D5" s="26">
        <v>0.05</v>
      </c>
      <c r="E5" s="26">
        <v>0.1</v>
      </c>
      <c r="F5" s="26">
        <v>7.5000000000000011E-2</v>
      </c>
      <c r="G5" s="27">
        <v>2.5000000000000001E-2</v>
      </c>
      <c r="I5" s="6" t="s">
        <v>115</v>
      </c>
      <c r="J5" s="30">
        <v>730</v>
      </c>
      <c r="K5" s="25" t="s">
        <v>116</v>
      </c>
    </row>
    <row r="6" spans="1:11" x14ac:dyDescent="0.2">
      <c r="A6" s="6" t="s">
        <v>117</v>
      </c>
      <c r="B6" s="29" t="s">
        <v>113</v>
      </c>
      <c r="C6" s="25" t="s">
        <v>118</v>
      </c>
      <c r="D6" s="26">
        <v>0.15</v>
      </c>
      <c r="E6" s="26">
        <v>0.3</v>
      </c>
      <c r="F6" s="26">
        <v>0.22500000000000001</v>
      </c>
      <c r="G6" s="27">
        <v>2.5000000000000001E-2</v>
      </c>
      <c r="I6" s="6" t="s">
        <v>119</v>
      </c>
      <c r="J6" s="31">
        <v>0.27778000000000003</v>
      </c>
      <c r="K6" s="25" t="s">
        <v>120</v>
      </c>
    </row>
    <row r="7" spans="1:11" x14ac:dyDescent="0.2">
      <c r="A7" s="6" t="s">
        <v>121</v>
      </c>
      <c r="B7" s="29" t="s">
        <v>113</v>
      </c>
      <c r="C7" s="25" t="s">
        <v>122</v>
      </c>
      <c r="D7" s="32" t="s">
        <v>123</v>
      </c>
      <c r="E7" s="32" t="s">
        <v>123</v>
      </c>
      <c r="F7" s="32" t="s">
        <v>123</v>
      </c>
      <c r="G7" s="27">
        <v>2.5000000000000001E-2</v>
      </c>
      <c r="I7" s="6" t="s">
        <v>124</v>
      </c>
      <c r="J7" s="31">
        <v>0.03</v>
      </c>
      <c r="K7" s="25" t="s">
        <v>125</v>
      </c>
    </row>
    <row r="8" spans="1:11" x14ac:dyDescent="0.2">
      <c r="A8" s="6" t="s">
        <v>126</v>
      </c>
      <c r="B8" s="29" t="s">
        <v>113</v>
      </c>
      <c r="C8" s="25" t="s">
        <v>127</v>
      </c>
      <c r="D8" s="26">
        <v>1.7000000000000001E-2</v>
      </c>
      <c r="E8" s="26">
        <v>3.4700000000000002E-2</v>
      </c>
      <c r="F8" s="26">
        <v>2.5850000000000001E-2</v>
      </c>
      <c r="G8" s="27">
        <v>2.5000000000000001E-2</v>
      </c>
      <c r="I8" s="6" t="s">
        <v>128</v>
      </c>
      <c r="J8" s="31">
        <v>0.05</v>
      </c>
      <c r="K8" s="25" t="s">
        <v>129</v>
      </c>
    </row>
    <row r="9" spans="1:11" x14ac:dyDescent="0.2">
      <c r="A9" s="6" t="s">
        <v>130</v>
      </c>
      <c r="B9" s="29" t="s">
        <v>113</v>
      </c>
      <c r="C9" s="25" t="s">
        <v>131</v>
      </c>
      <c r="D9" s="26">
        <v>0.05</v>
      </c>
      <c r="E9" s="26">
        <v>0.1</v>
      </c>
      <c r="F9" s="26">
        <v>7.5000000000000011E-2</v>
      </c>
      <c r="G9" s="27">
        <v>2.5000000000000001E-2</v>
      </c>
      <c r="I9" s="6" t="s">
        <v>132</v>
      </c>
      <c r="J9" s="31">
        <v>2.5000000000000001E-2</v>
      </c>
      <c r="K9" s="25" t="s">
        <v>133</v>
      </c>
    </row>
    <row r="10" spans="1:11" x14ac:dyDescent="0.2">
      <c r="A10" s="6" t="s">
        <v>134</v>
      </c>
      <c r="B10" s="29" t="s">
        <v>113</v>
      </c>
      <c r="C10" s="25" t="s">
        <v>135</v>
      </c>
      <c r="D10" s="26">
        <v>0.05</v>
      </c>
      <c r="E10" s="26">
        <v>0.1</v>
      </c>
      <c r="F10" s="26">
        <v>7.5000000000000011E-2</v>
      </c>
      <c r="G10" s="27">
        <v>2.5000000000000001E-2</v>
      </c>
      <c r="I10" s="6" t="s">
        <v>136</v>
      </c>
      <c r="J10" s="31">
        <v>0.05</v>
      </c>
      <c r="K10" s="25" t="s">
        <v>137</v>
      </c>
    </row>
    <row r="11" spans="1:11" x14ac:dyDescent="0.2">
      <c r="A11" s="6" t="s">
        <v>138</v>
      </c>
      <c r="B11" s="29" t="s">
        <v>113</v>
      </c>
      <c r="C11" s="25" t="s">
        <v>139</v>
      </c>
      <c r="D11" s="26">
        <v>0.05</v>
      </c>
      <c r="E11" s="26">
        <v>0.1</v>
      </c>
      <c r="F11" s="26">
        <v>7.5000000000000011E-2</v>
      </c>
      <c r="G11" s="27">
        <v>2.5000000000000001E-2</v>
      </c>
      <c r="I11" s="6" t="s">
        <v>140</v>
      </c>
      <c r="J11" s="31">
        <v>3.5000000000000003E-2</v>
      </c>
      <c r="K11" s="25" t="s">
        <v>141</v>
      </c>
    </row>
    <row r="12" spans="1:11" x14ac:dyDescent="0.2">
      <c r="A12" s="6" t="s">
        <v>142</v>
      </c>
      <c r="B12" s="29" t="s">
        <v>113</v>
      </c>
      <c r="C12" s="25" t="s">
        <v>143</v>
      </c>
      <c r="D12" s="26">
        <v>0.15</v>
      </c>
      <c r="E12" s="26">
        <v>0.3</v>
      </c>
      <c r="F12" s="26">
        <v>0.22500000000000001</v>
      </c>
      <c r="G12" s="27">
        <v>2.5000000000000001E-2</v>
      </c>
      <c r="I12" s="6" t="s">
        <v>144</v>
      </c>
      <c r="J12" s="31">
        <v>0.02</v>
      </c>
      <c r="K12" s="25" t="s">
        <v>145</v>
      </c>
    </row>
    <row r="13" spans="1:11" x14ac:dyDescent="0.2">
      <c r="A13" s="6" t="s">
        <v>146</v>
      </c>
      <c r="B13" s="29" t="s">
        <v>113</v>
      </c>
      <c r="C13" s="25" t="s">
        <v>147</v>
      </c>
      <c r="D13" s="26">
        <v>0.15</v>
      </c>
      <c r="E13" s="26">
        <v>0.3</v>
      </c>
      <c r="F13" s="26">
        <v>0.22500000000000001</v>
      </c>
      <c r="G13" s="27">
        <v>2.5000000000000001E-2</v>
      </c>
      <c r="I13" s="6" t="s">
        <v>148</v>
      </c>
      <c r="J13" s="31">
        <v>1.4E-2</v>
      </c>
      <c r="K13" s="25" t="s">
        <v>149</v>
      </c>
    </row>
    <row r="14" spans="1:11" x14ac:dyDescent="0.2">
      <c r="A14" s="6" t="s">
        <v>150</v>
      </c>
      <c r="B14" s="29" t="s">
        <v>113</v>
      </c>
      <c r="C14" s="25" t="s">
        <v>35</v>
      </c>
      <c r="D14" s="26">
        <v>1.7000000000000001E-2</v>
      </c>
      <c r="E14" s="26">
        <v>3.4700000000000002E-2</v>
      </c>
      <c r="F14" s="26">
        <v>2.5850000000000001E-2</v>
      </c>
      <c r="G14" s="27">
        <v>2.5000000000000001E-2</v>
      </c>
    </row>
    <row r="15" spans="1:11" x14ac:dyDescent="0.2">
      <c r="A15" s="6" t="s">
        <v>151</v>
      </c>
      <c r="B15" s="29" t="s">
        <v>113</v>
      </c>
      <c r="C15" s="25" t="s">
        <v>152</v>
      </c>
      <c r="D15" s="26">
        <v>0.05</v>
      </c>
      <c r="E15" s="26">
        <v>0.1</v>
      </c>
      <c r="F15" s="26">
        <v>7.5000000000000011E-2</v>
      </c>
      <c r="G15" s="27">
        <v>2.5000000000000001E-2</v>
      </c>
    </row>
    <row r="16" spans="1:11" x14ac:dyDescent="0.2">
      <c r="A16" s="6" t="s">
        <v>153</v>
      </c>
      <c r="B16" s="29" t="s">
        <v>113</v>
      </c>
      <c r="C16" s="25" t="s">
        <v>154</v>
      </c>
      <c r="D16" s="26">
        <v>0.3</v>
      </c>
      <c r="E16" s="26">
        <v>0.3</v>
      </c>
      <c r="F16" s="26">
        <v>0.3</v>
      </c>
      <c r="G16" s="27">
        <v>2.5000000000000001E-2</v>
      </c>
    </row>
    <row r="17" spans="1:7" x14ac:dyDescent="0.2">
      <c r="A17" s="6" t="s">
        <v>155</v>
      </c>
      <c r="B17" s="29" t="s">
        <v>113</v>
      </c>
      <c r="C17" s="25" t="s">
        <v>156</v>
      </c>
      <c r="D17" s="26">
        <v>1.7000000000000001E-2</v>
      </c>
      <c r="E17" s="26">
        <v>3.4700000000000002E-2</v>
      </c>
      <c r="F17" s="26">
        <v>2.5850000000000001E-2</v>
      </c>
      <c r="G17" s="27">
        <v>2.5000000000000001E-2</v>
      </c>
    </row>
    <row r="18" spans="1:7" x14ac:dyDescent="0.2">
      <c r="A18" s="6" t="s">
        <v>157</v>
      </c>
      <c r="B18" s="29" t="s">
        <v>113</v>
      </c>
      <c r="C18" s="25" t="s">
        <v>158</v>
      </c>
      <c r="D18" s="32" t="s">
        <v>123</v>
      </c>
      <c r="E18" s="32" t="s">
        <v>123</v>
      </c>
      <c r="F18" s="32" t="s">
        <v>123</v>
      </c>
      <c r="G18" s="27">
        <v>2.5000000000000001E-2</v>
      </c>
    </row>
    <row r="19" spans="1:7" x14ac:dyDescent="0.2">
      <c r="A19" s="6" t="s">
        <v>159</v>
      </c>
      <c r="B19" s="29" t="s">
        <v>113</v>
      </c>
      <c r="C19" s="25" t="s">
        <v>160</v>
      </c>
      <c r="D19" s="26">
        <v>0.15</v>
      </c>
      <c r="E19" s="26">
        <v>0.3</v>
      </c>
      <c r="F19" s="26">
        <v>0.22500000000000001</v>
      </c>
      <c r="G19" s="27">
        <v>2.5000000000000001E-2</v>
      </c>
    </row>
    <row r="20" spans="1:7" x14ac:dyDescent="0.2">
      <c r="A20" s="6" t="s">
        <v>161</v>
      </c>
      <c r="B20" s="29" t="s">
        <v>113</v>
      </c>
      <c r="C20" s="25" t="s">
        <v>162</v>
      </c>
      <c r="D20" s="26">
        <v>1.7000000000000001E-2</v>
      </c>
      <c r="E20" s="26">
        <v>3.4700000000000002E-2</v>
      </c>
      <c r="F20" s="26">
        <v>2.5850000000000001E-2</v>
      </c>
      <c r="G20" s="27">
        <v>2.5000000000000001E-2</v>
      </c>
    </row>
    <row r="21" spans="1:7" x14ac:dyDescent="0.2">
      <c r="A21" s="6" t="s">
        <v>163</v>
      </c>
      <c r="B21" s="29" t="s">
        <v>113</v>
      </c>
      <c r="C21" s="25" t="s">
        <v>164</v>
      </c>
      <c r="D21" s="26">
        <v>0.05</v>
      </c>
      <c r="E21" s="26">
        <v>0.1</v>
      </c>
      <c r="F21" s="26">
        <v>7.5000000000000011E-2</v>
      </c>
      <c r="G21" s="27">
        <v>2.5000000000000001E-2</v>
      </c>
    </row>
    <row r="22" spans="1:7" x14ac:dyDescent="0.2">
      <c r="A22" s="6" t="s">
        <v>165</v>
      </c>
      <c r="B22" s="29" t="s">
        <v>113</v>
      </c>
      <c r="C22" s="25" t="s">
        <v>166</v>
      </c>
      <c r="D22" s="26">
        <v>0.15</v>
      </c>
      <c r="E22" s="26">
        <v>0.3</v>
      </c>
      <c r="F22" s="26">
        <v>0.22500000000000001</v>
      </c>
      <c r="G22" s="27">
        <v>2.5000000000000001E-2</v>
      </c>
    </row>
    <row r="23" spans="1:7" x14ac:dyDescent="0.2">
      <c r="A23" s="6" t="s">
        <v>167</v>
      </c>
      <c r="B23" s="29" t="s">
        <v>113</v>
      </c>
      <c r="C23" s="25" t="s">
        <v>168</v>
      </c>
      <c r="D23" s="26">
        <v>0.15</v>
      </c>
      <c r="E23" s="26">
        <v>0.3</v>
      </c>
      <c r="F23" s="26">
        <v>0.22500000000000001</v>
      </c>
      <c r="G23" s="27">
        <v>2.5000000000000001E-2</v>
      </c>
    </row>
    <row r="24" spans="1:7" x14ac:dyDescent="0.2">
      <c r="A24" s="6" t="s">
        <v>169</v>
      </c>
      <c r="B24" s="29" t="s">
        <v>113</v>
      </c>
      <c r="C24" s="25" t="s">
        <v>170</v>
      </c>
      <c r="D24" s="26">
        <v>0.05</v>
      </c>
      <c r="E24" s="26">
        <v>0.1</v>
      </c>
      <c r="F24" s="26">
        <v>7.5000000000000011E-2</v>
      </c>
      <c r="G24" s="27">
        <v>2.5000000000000001E-2</v>
      </c>
    </row>
    <row r="25" spans="1:7" x14ac:dyDescent="0.2">
      <c r="A25" s="6" t="s">
        <v>171</v>
      </c>
      <c r="B25" s="29" t="s">
        <v>113</v>
      </c>
      <c r="C25" s="25" t="s">
        <v>172</v>
      </c>
      <c r="D25" s="26">
        <v>0.15</v>
      </c>
      <c r="E25" s="26">
        <v>0.3</v>
      </c>
      <c r="F25" s="26">
        <v>0.22500000000000001</v>
      </c>
      <c r="G25" s="27">
        <v>2.5000000000000001E-2</v>
      </c>
    </row>
    <row r="26" spans="1:7" x14ac:dyDescent="0.2">
      <c r="A26" s="6" t="s">
        <v>173</v>
      </c>
      <c r="B26" s="29" t="s">
        <v>113</v>
      </c>
      <c r="C26" s="25" t="s">
        <v>174</v>
      </c>
      <c r="D26" s="26">
        <v>0.15</v>
      </c>
      <c r="E26" s="26">
        <v>0.3</v>
      </c>
      <c r="F26" s="26">
        <v>0.22500000000000001</v>
      </c>
      <c r="G26" s="27">
        <v>2.5000000000000001E-2</v>
      </c>
    </row>
    <row r="27" spans="1:7" x14ac:dyDescent="0.2">
      <c r="A27" s="6" t="s">
        <v>175</v>
      </c>
      <c r="B27" s="29" t="s">
        <v>113</v>
      </c>
      <c r="C27" s="25" t="s">
        <v>176</v>
      </c>
      <c r="D27" s="32" t="s">
        <v>123</v>
      </c>
      <c r="E27" s="32" t="s">
        <v>123</v>
      </c>
      <c r="F27" s="32" t="s">
        <v>123</v>
      </c>
      <c r="G27" s="27">
        <v>2.5000000000000001E-2</v>
      </c>
    </row>
    <row r="28" spans="1:7" x14ac:dyDescent="0.2">
      <c r="A28" s="6" t="s">
        <v>177</v>
      </c>
      <c r="B28" s="29" t="s">
        <v>113</v>
      </c>
      <c r="C28" s="25" t="s">
        <v>178</v>
      </c>
      <c r="D28" s="26">
        <v>1.7000000000000001E-2</v>
      </c>
      <c r="E28" s="26">
        <v>3.4700000000000002E-2</v>
      </c>
      <c r="F28" s="26">
        <v>2.5850000000000001E-2</v>
      </c>
      <c r="G28" s="27">
        <v>2.5000000000000001E-2</v>
      </c>
    </row>
    <row r="29" spans="1:7" x14ac:dyDescent="0.2">
      <c r="A29" s="6" t="s">
        <v>179</v>
      </c>
      <c r="B29" s="29" t="s">
        <v>113</v>
      </c>
      <c r="C29" s="25" t="s">
        <v>180</v>
      </c>
      <c r="D29" s="26">
        <v>0.104</v>
      </c>
      <c r="E29" s="26">
        <v>0.20830000000000001</v>
      </c>
      <c r="F29" s="26">
        <v>0.15615000000000001</v>
      </c>
      <c r="G29" s="27">
        <v>2.5000000000000001E-2</v>
      </c>
    </row>
    <row r="30" spans="1:7" x14ac:dyDescent="0.2">
      <c r="A30" s="6" t="s">
        <v>181</v>
      </c>
      <c r="B30" s="29" t="s">
        <v>113</v>
      </c>
      <c r="C30" s="25" t="s">
        <v>182</v>
      </c>
      <c r="D30" s="32" t="s">
        <v>123</v>
      </c>
      <c r="E30" s="32" t="s">
        <v>123</v>
      </c>
      <c r="F30" s="32" t="s">
        <v>123</v>
      </c>
      <c r="G30" s="27">
        <v>2.5000000000000001E-2</v>
      </c>
    </row>
    <row r="31" spans="1:7" x14ac:dyDescent="0.2">
      <c r="A31" s="6" t="s">
        <v>183</v>
      </c>
      <c r="B31" s="29" t="s">
        <v>113</v>
      </c>
      <c r="C31" s="25" t="s">
        <v>184</v>
      </c>
      <c r="D31" s="26">
        <v>0.15</v>
      </c>
      <c r="E31" s="26">
        <v>0.3</v>
      </c>
      <c r="F31" s="26">
        <v>0.22500000000000001</v>
      </c>
      <c r="G31" s="27">
        <v>2.5000000000000001E-2</v>
      </c>
    </row>
    <row r="32" spans="1:7" x14ac:dyDescent="0.2">
      <c r="A32" s="6" t="s">
        <v>185</v>
      </c>
      <c r="B32" s="29" t="s">
        <v>113</v>
      </c>
      <c r="C32" s="25" t="s">
        <v>186</v>
      </c>
      <c r="D32" s="26">
        <v>0.05</v>
      </c>
      <c r="E32" s="26">
        <v>0.1</v>
      </c>
      <c r="F32" s="26">
        <v>7.5000000000000011E-2</v>
      </c>
      <c r="G32" s="27">
        <v>2.5000000000000001E-2</v>
      </c>
    </row>
    <row r="33" spans="1:7" x14ac:dyDescent="0.2">
      <c r="A33" s="6" t="s">
        <v>187</v>
      </c>
      <c r="B33" s="29" t="s">
        <v>113</v>
      </c>
      <c r="C33" s="25" t="s">
        <v>188</v>
      </c>
      <c r="D33" s="26">
        <v>1.7000000000000001E-2</v>
      </c>
      <c r="E33" s="26">
        <v>3.4700000000000002E-2</v>
      </c>
      <c r="F33" s="26">
        <v>2.5850000000000001E-2</v>
      </c>
      <c r="G33" s="27">
        <v>2.5000000000000001E-2</v>
      </c>
    </row>
    <row r="34" spans="1:7" x14ac:dyDescent="0.2">
      <c r="A34" s="6" t="s">
        <v>189</v>
      </c>
      <c r="B34" s="29" t="s">
        <v>113</v>
      </c>
      <c r="C34" s="25" t="s">
        <v>190</v>
      </c>
      <c r="D34" s="26">
        <v>0.104</v>
      </c>
      <c r="E34" s="26">
        <v>0.20830000000000001</v>
      </c>
      <c r="F34" s="26">
        <v>0.15615000000000001</v>
      </c>
      <c r="G34" s="27">
        <v>2.5000000000000001E-2</v>
      </c>
    </row>
    <row r="35" spans="1:7" x14ac:dyDescent="0.2">
      <c r="A35" s="6" t="s">
        <v>191</v>
      </c>
      <c r="B35" s="29" t="s">
        <v>113</v>
      </c>
      <c r="C35" s="25" t="s">
        <v>192</v>
      </c>
      <c r="D35" s="32" t="s">
        <v>123</v>
      </c>
      <c r="E35" s="32" t="s">
        <v>123</v>
      </c>
      <c r="F35" s="32" t="s">
        <v>123</v>
      </c>
      <c r="G35" s="27">
        <v>2.5000000000000001E-2</v>
      </c>
    </row>
    <row r="36" spans="1:7" x14ac:dyDescent="0.2">
      <c r="A36" s="6" t="s">
        <v>193</v>
      </c>
      <c r="B36" s="29" t="s">
        <v>113</v>
      </c>
      <c r="C36" s="25" t="s">
        <v>194</v>
      </c>
      <c r="D36" s="26">
        <v>1.7000000000000001E-2</v>
      </c>
      <c r="E36" s="26">
        <v>3.4700000000000002E-2</v>
      </c>
      <c r="F36" s="26">
        <v>2.5850000000000001E-2</v>
      </c>
      <c r="G36" s="27">
        <v>2.5000000000000001E-2</v>
      </c>
    </row>
    <row r="37" spans="1:7" x14ac:dyDescent="0.2">
      <c r="A37" s="6" t="s">
        <v>195</v>
      </c>
      <c r="B37" s="29" t="s">
        <v>113</v>
      </c>
      <c r="C37" s="25" t="s">
        <v>196</v>
      </c>
      <c r="D37" s="26">
        <v>1.7000000000000001E-2</v>
      </c>
      <c r="E37" s="26">
        <v>3.4700000000000002E-2</v>
      </c>
      <c r="F37" s="26">
        <v>2.5850000000000001E-2</v>
      </c>
      <c r="G37" s="27">
        <v>2.5000000000000001E-2</v>
      </c>
    </row>
    <row r="38" spans="1:7" x14ac:dyDescent="0.2">
      <c r="A38" s="6" t="s">
        <v>197</v>
      </c>
      <c r="B38" s="29" t="s">
        <v>113</v>
      </c>
      <c r="C38" s="25" t="s">
        <v>198</v>
      </c>
      <c r="D38" s="26">
        <v>0.104</v>
      </c>
      <c r="E38" s="26">
        <v>0.20830000000000001</v>
      </c>
      <c r="F38" s="26">
        <v>0.15615000000000001</v>
      </c>
      <c r="G38" s="27">
        <v>2.5000000000000001E-2</v>
      </c>
    </row>
    <row r="39" spans="1:7" x14ac:dyDescent="0.2">
      <c r="A39" s="6" t="s">
        <v>199</v>
      </c>
      <c r="B39" s="29" t="s">
        <v>113</v>
      </c>
      <c r="C39" s="25" t="s">
        <v>200</v>
      </c>
      <c r="D39" s="32" t="s">
        <v>123</v>
      </c>
      <c r="E39" s="32" t="s">
        <v>123</v>
      </c>
      <c r="F39" s="32" t="s">
        <v>123</v>
      </c>
      <c r="G39" s="27">
        <v>2.5000000000000001E-2</v>
      </c>
    </row>
    <row r="40" spans="1:7" x14ac:dyDescent="0.2">
      <c r="A40" s="6" t="s">
        <v>201</v>
      </c>
      <c r="B40" s="29" t="s">
        <v>113</v>
      </c>
      <c r="C40" s="25" t="s">
        <v>202</v>
      </c>
      <c r="D40" s="26">
        <v>0.05</v>
      </c>
      <c r="E40" s="26">
        <v>0.1</v>
      </c>
      <c r="F40" s="26">
        <v>7.5000000000000011E-2</v>
      </c>
      <c r="G40" s="27">
        <v>2.5000000000000001E-2</v>
      </c>
    </row>
    <row r="41" spans="1:7" x14ac:dyDescent="0.2">
      <c r="A41" s="6" t="s">
        <v>203</v>
      </c>
      <c r="B41" s="29" t="s">
        <v>113</v>
      </c>
      <c r="C41" s="25" t="s">
        <v>204</v>
      </c>
      <c r="D41" s="26">
        <v>0.15</v>
      </c>
      <c r="E41" s="26">
        <v>0.3</v>
      </c>
      <c r="F41" s="26">
        <v>0.22500000000000001</v>
      </c>
      <c r="G41" s="27">
        <v>2.5000000000000001E-2</v>
      </c>
    </row>
    <row r="42" spans="1:7" x14ac:dyDescent="0.2">
      <c r="A42" s="6" t="s">
        <v>205</v>
      </c>
      <c r="B42" s="29" t="s">
        <v>113</v>
      </c>
      <c r="C42" s="25" t="s">
        <v>206</v>
      </c>
      <c r="D42" s="26">
        <v>0.15</v>
      </c>
      <c r="E42" s="26">
        <v>0.3</v>
      </c>
      <c r="F42" s="26">
        <v>0.22500000000000001</v>
      </c>
      <c r="G42" s="27">
        <v>2.5000000000000001E-2</v>
      </c>
    </row>
    <row r="43" spans="1:7" x14ac:dyDescent="0.2">
      <c r="A43" s="6" t="s">
        <v>207</v>
      </c>
      <c r="B43" s="29" t="s">
        <v>113</v>
      </c>
      <c r="C43" s="25" t="s">
        <v>208</v>
      </c>
      <c r="D43" s="26">
        <v>0.104</v>
      </c>
      <c r="E43" s="26">
        <v>0.20830000000000001</v>
      </c>
      <c r="F43" s="26">
        <v>0.15615000000000001</v>
      </c>
      <c r="G43" s="27">
        <v>2.5000000000000001E-2</v>
      </c>
    </row>
    <row r="44" spans="1:7" x14ac:dyDescent="0.2">
      <c r="A44" s="6" t="s">
        <v>209</v>
      </c>
      <c r="B44" s="29" t="s">
        <v>113</v>
      </c>
      <c r="C44" s="25" t="s">
        <v>210</v>
      </c>
      <c r="D44" s="26">
        <v>0.15</v>
      </c>
      <c r="E44" s="26">
        <v>0.3</v>
      </c>
      <c r="F44" s="26">
        <v>0.22500000000000001</v>
      </c>
      <c r="G44" s="27">
        <v>2.5000000000000001E-2</v>
      </c>
    </row>
    <row r="45" spans="1:7" x14ac:dyDescent="0.2">
      <c r="A45" s="6" t="s">
        <v>211</v>
      </c>
      <c r="B45" s="29" t="s">
        <v>113</v>
      </c>
      <c r="C45" s="25" t="s">
        <v>212</v>
      </c>
      <c r="D45" s="26">
        <v>0.15</v>
      </c>
      <c r="E45" s="26">
        <v>0.3</v>
      </c>
      <c r="F45" s="26">
        <v>0.22500000000000001</v>
      </c>
      <c r="G45" s="27">
        <v>2.5000000000000001E-2</v>
      </c>
    </row>
    <row r="46" spans="1:7" x14ac:dyDescent="0.2">
      <c r="A46" s="6" t="s">
        <v>213</v>
      </c>
      <c r="B46" s="29" t="s">
        <v>113</v>
      </c>
      <c r="C46" s="25" t="s">
        <v>214</v>
      </c>
      <c r="D46" s="26">
        <v>0.15</v>
      </c>
      <c r="E46" s="26">
        <v>0.3</v>
      </c>
      <c r="F46" s="26">
        <v>0.22500000000000001</v>
      </c>
      <c r="G46" s="27">
        <v>2.5000000000000001E-2</v>
      </c>
    </row>
    <row r="47" spans="1:7" x14ac:dyDescent="0.2">
      <c r="A47" s="6" t="s">
        <v>215</v>
      </c>
      <c r="B47" s="29" t="s">
        <v>113</v>
      </c>
      <c r="C47" s="25" t="s">
        <v>216</v>
      </c>
      <c r="D47" s="26">
        <v>0.15</v>
      </c>
      <c r="E47" s="26">
        <v>0.3</v>
      </c>
      <c r="F47" s="26">
        <v>0.22500000000000001</v>
      </c>
      <c r="G47" s="27">
        <v>2.5000000000000001E-2</v>
      </c>
    </row>
    <row r="48" spans="1:7" x14ac:dyDescent="0.2">
      <c r="A48" s="6" t="s">
        <v>217</v>
      </c>
      <c r="B48" s="29" t="s">
        <v>113</v>
      </c>
      <c r="C48" s="25" t="s">
        <v>218</v>
      </c>
      <c r="D48" s="26">
        <v>0.05</v>
      </c>
      <c r="E48" s="26">
        <v>0.1</v>
      </c>
      <c r="F48" s="26">
        <v>7.5000000000000011E-2</v>
      </c>
      <c r="G48" s="27">
        <v>2.5000000000000001E-2</v>
      </c>
    </row>
    <row r="49" spans="1:7" x14ac:dyDescent="0.2">
      <c r="A49" s="6" t="s">
        <v>219</v>
      </c>
      <c r="B49" s="29" t="s">
        <v>113</v>
      </c>
      <c r="C49" s="25" t="s">
        <v>220</v>
      </c>
      <c r="D49" s="26">
        <v>0.05</v>
      </c>
      <c r="E49" s="26">
        <v>0.1</v>
      </c>
      <c r="F49" s="26">
        <v>7.5000000000000011E-2</v>
      </c>
      <c r="G49" s="27">
        <v>2.5000000000000001E-2</v>
      </c>
    </row>
    <row r="50" spans="1:7" x14ac:dyDescent="0.2">
      <c r="A50" s="6" t="s">
        <v>221</v>
      </c>
      <c r="B50" s="29" t="s">
        <v>113</v>
      </c>
      <c r="C50" s="25" t="s">
        <v>222</v>
      </c>
      <c r="D50" s="26">
        <v>0.15</v>
      </c>
      <c r="E50" s="26">
        <v>0.3</v>
      </c>
      <c r="F50" s="26">
        <v>0.22500000000000001</v>
      </c>
      <c r="G50" s="27">
        <v>2.5000000000000001E-2</v>
      </c>
    </row>
    <row r="51" spans="1:7" x14ac:dyDescent="0.2">
      <c r="A51" s="6" t="s">
        <v>223</v>
      </c>
      <c r="B51" s="33" t="s">
        <v>224</v>
      </c>
      <c r="C51" s="25" t="s">
        <v>225</v>
      </c>
      <c r="D51" s="26">
        <v>5.1999999999999998E-2</v>
      </c>
      <c r="E51" s="26">
        <v>0.1041</v>
      </c>
      <c r="F51" s="26">
        <v>7.8049999999999994E-2</v>
      </c>
      <c r="G51" s="27">
        <v>2.5000000000000001E-2</v>
      </c>
    </row>
    <row r="52" spans="1:7" x14ac:dyDescent="0.2">
      <c r="A52" s="6" t="s">
        <v>226</v>
      </c>
      <c r="B52" s="33" t="s">
        <v>224</v>
      </c>
      <c r="C52" s="25" t="s">
        <v>227</v>
      </c>
      <c r="D52" s="26">
        <v>0.15</v>
      </c>
      <c r="E52" s="26">
        <v>0.3</v>
      </c>
      <c r="F52" s="26">
        <v>0.22500000000000001</v>
      </c>
      <c r="G52" s="27">
        <v>2.5000000000000001E-2</v>
      </c>
    </row>
    <row r="53" spans="1:7" x14ac:dyDescent="0.2">
      <c r="A53" s="6" t="s">
        <v>228</v>
      </c>
      <c r="B53" s="33" t="s">
        <v>224</v>
      </c>
      <c r="C53" s="25" t="s">
        <v>229</v>
      </c>
      <c r="D53" s="26">
        <v>0.15</v>
      </c>
      <c r="E53" s="26">
        <v>0.3</v>
      </c>
      <c r="F53" s="26">
        <v>0.22500000000000001</v>
      </c>
      <c r="G53" s="27">
        <v>2.5000000000000001E-2</v>
      </c>
    </row>
    <row r="54" spans="1:7" x14ac:dyDescent="0.2">
      <c r="A54" s="6" t="s">
        <v>230</v>
      </c>
      <c r="B54" s="33" t="s">
        <v>224</v>
      </c>
      <c r="C54" s="25" t="s">
        <v>231</v>
      </c>
      <c r="D54" s="26">
        <v>5.1999999999999998E-2</v>
      </c>
      <c r="E54" s="26">
        <v>0.1041</v>
      </c>
      <c r="F54" s="26">
        <v>7.8049999999999994E-2</v>
      </c>
      <c r="G54" s="27">
        <v>2.5000000000000001E-2</v>
      </c>
    </row>
    <row r="55" spans="1:7" x14ac:dyDescent="0.2">
      <c r="A55" s="6" t="s">
        <v>130</v>
      </c>
      <c r="B55" s="33" t="s">
        <v>224</v>
      </c>
      <c r="C55" s="25" t="s">
        <v>232</v>
      </c>
      <c r="D55" s="26">
        <v>1.7000000000000001E-2</v>
      </c>
      <c r="E55" s="26">
        <v>3.4700000000000002E-2</v>
      </c>
      <c r="F55" s="26">
        <v>2.5850000000000001E-2</v>
      </c>
      <c r="G55" s="27">
        <v>2.5000000000000001E-2</v>
      </c>
    </row>
    <row r="56" spans="1:7" x14ac:dyDescent="0.2">
      <c r="A56" s="6" t="s">
        <v>233</v>
      </c>
      <c r="B56" s="33" t="s">
        <v>224</v>
      </c>
      <c r="C56" s="25" t="s">
        <v>234</v>
      </c>
      <c r="D56" s="26">
        <v>0.104</v>
      </c>
      <c r="E56" s="26">
        <v>0.20830000000000001</v>
      </c>
      <c r="F56" s="26">
        <v>0.15615000000000001</v>
      </c>
      <c r="G56" s="27">
        <v>2.5000000000000001E-2</v>
      </c>
    </row>
    <row r="57" spans="1:7" x14ac:dyDescent="0.2">
      <c r="A57" s="6" t="s">
        <v>138</v>
      </c>
      <c r="B57" s="33" t="s">
        <v>224</v>
      </c>
      <c r="C57" s="25" t="s">
        <v>235</v>
      </c>
      <c r="D57" s="26">
        <v>1.7000000000000001E-2</v>
      </c>
      <c r="E57" s="26">
        <v>3.4700000000000002E-2</v>
      </c>
      <c r="F57" s="26">
        <v>2.5850000000000001E-2</v>
      </c>
      <c r="G57" s="27">
        <v>2.5000000000000001E-2</v>
      </c>
    </row>
    <row r="58" spans="1:7" x14ac:dyDescent="0.2">
      <c r="A58" s="6" t="s">
        <v>236</v>
      </c>
      <c r="B58" s="33" t="s">
        <v>224</v>
      </c>
      <c r="C58" s="25" t="s">
        <v>237</v>
      </c>
      <c r="D58" s="26">
        <v>0.15</v>
      </c>
      <c r="E58" s="26">
        <v>0.3</v>
      </c>
      <c r="F58" s="26">
        <v>0.22500000000000001</v>
      </c>
      <c r="G58" s="27">
        <v>2.5000000000000001E-2</v>
      </c>
    </row>
    <row r="59" spans="1:7" x14ac:dyDescent="0.2">
      <c r="A59" s="6" t="s">
        <v>142</v>
      </c>
      <c r="B59" s="33" t="s">
        <v>224</v>
      </c>
      <c r="C59" s="25" t="s">
        <v>238</v>
      </c>
      <c r="D59" s="26">
        <v>0.15</v>
      </c>
      <c r="E59" s="26">
        <v>0.3</v>
      </c>
      <c r="F59" s="26">
        <v>0.22500000000000001</v>
      </c>
      <c r="G59" s="27">
        <v>2.5000000000000001E-2</v>
      </c>
    </row>
    <row r="60" spans="1:7" x14ac:dyDescent="0.2">
      <c r="A60" s="6" t="s">
        <v>146</v>
      </c>
      <c r="B60" s="33" t="s">
        <v>224</v>
      </c>
      <c r="C60" s="25" t="s">
        <v>239</v>
      </c>
      <c r="D60" s="26">
        <v>0.15</v>
      </c>
      <c r="E60" s="26">
        <v>0.3</v>
      </c>
      <c r="F60" s="26">
        <v>0.22500000000000001</v>
      </c>
      <c r="G60" s="27">
        <v>2.5000000000000001E-2</v>
      </c>
    </row>
    <row r="61" spans="1:7" x14ac:dyDescent="0.2">
      <c r="A61" s="6" t="s">
        <v>240</v>
      </c>
      <c r="B61" s="33" t="s">
        <v>224</v>
      </c>
      <c r="C61" s="25" t="s">
        <v>241</v>
      </c>
      <c r="D61" s="26">
        <v>1.7000000000000001E-2</v>
      </c>
      <c r="E61" s="26">
        <v>3.4700000000000002E-2</v>
      </c>
      <c r="F61" s="26">
        <v>2.5850000000000001E-2</v>
      </c>
      <c r="G61" s="27">
        <v>2.5000000000000001E-2</v>
      </c>
    </row>
    <row r="62" spans="1:7" x14ac:dyDescent="0.2">
      <c r="A62" s="6" t="s">
        <v>242</v>
      </c>
      <c r="B62" s="33" t="s">
        <v>224</v>
      </c>
      <c r="C62" s="25" t="s">
        <v>243</v>
      </c>
      <c r="D62" s="26">
        <v>0.104</v>
      </c>
      <c r="E62" s="26">
        <v>0.20830000000000001</v>
      </c>
      <c r="F62" s="26">
        <v>0.15615000000000001</v>
      </c>
      <c r="G62" s="27">
        <v>2.5000000000000001E-2</v>
      </c>
    </row>
    <row r="63" spans="1:7" x14ac:dyDescent="0.2">
      <c r="A63" s="6" t="s">
        <v>244</v>
      </c>
      <c r="B63" s="33" t="s">
        <v>224</v>
      </c>
      <c r="C63" s="25" t="s">
        <v>245</v>
      </c>
      <c r="D63" s="26">
        <v>0.15</v>
      </c>
      <c r="E63" s="26">
        <v>0.3</v>
      </c>
      <c r="F63" s="26">
        <v>0.22500000000000001</v>
      </c>
      <c r="G63" s="27">
        <v>2.5000000000000001E-2</v>
      </c>
    </row>
    <row r="64" spans="1:7" x14ac:dyDescent="0.2">
      <c r="A64" s="6" t="s">
        <v>246</v>
      </c>
      <c r="B64" s="33" t="s">
        <v>224</v>
      </c>
      <c r="C64" s="25" t="s">
        <v>247</v>
      </c>
      <c r="D64" s="26">
        <v>0.15</v>
      </c>
      <c r="E64" s="26">
        <v>0.3</v>
      </c>
      <c r="F64" s="26">
        <v>0.22500000000000001</v>
      </c>
      <c r="G64" s="27">
        <v>2.5000000000000001E-2</v>
      </c>
    </row>
    <row r="65" spans="1:7" x14ac:dyDescent="0.2">
      <c r="A65" s="6" t="s">
        <v>248</v>
      </c>
      <c r="B65" s="33" t="s">
        <v>224</v>
      </c>
      <c r="C65" s="25" t="s">
        <v>249</v>
      </c>
      <c r="D65" s="26">
        <v>0.1</v>
      </c>
      <c r="E65" s="26">
        <v>0.2</v>
      </c>
      <c r="F65" s="26">
        <v>0.15</v>
      </c>
      <c r="G65" s="27">
        <v>0.02</v>
      </c>
    </row>
    <row r="66" spans="1:7" x14ac:dyDescent="0.2">
      <c r="A66" s="6" t="s">
        <v>250</v>
      </c>
      <c r="B66" s="33" t="s">
        <v>224</v>
      </c>
      <c r="C66" s="25" t="s">
        <v>251</v>
      </c>
      <c r="D66" s="26">
        <v>0.15</v>
      </c>
      <c r="E66" s="26">
        <v>0.3</v>
      </c>
      <c r="F66" s="26">
        <v>0.22500000000000001</v>
      </c>
      <c r="G66" s="27">
        <v>2.5000000000000001E-2</v>
      </c>
    </row>
    <row r="67" spans="1:7" x14ac:dyDescent="0.2">
      <c r="A67" s="6" t="s">
        <v>252</v>
      </c>
      <c r="B67" s="33" t="s">
        <v>224</v>
      </c>
      <c r="C67" s="25" t="s">
        <v>253</v>
      </c>
      <c r="D67" s="26">
        <v>0.15</v>
      </c>
      <c r="E67" s="26">
        <v>0.3</v>
      </c>
      <c r="F67" s="26">
        <v>0.22500000000000001</v>
      </c>
      <c r="G67" s="27">
        <v>2.5000000000000001E-2</v>
      </c>
    </row>
    <row r="68" spans="1:7" x14ac:dyDescent="0.2">
      <c r="A68" s="6" t="s">
        <v>254</v>
      </c>
      <c r="B68" s="33" t="s">
        <v>224</v>
      </c>
      <c r="C68" s="25" t="s">
        <v>255</v>
      </c>
      <c r="D68" s="26">
        <v>0.15</v>
      </c>
      <c r="E68" s="26">
        <v>0.3</v>
      </c>
      <c r="F68" s="26">
        <v>0.22500000000000001</v>
      </c>
      <c r="G68" s="27">
        <v>2.5000000000000001E-2</v>
      </c>
    </row>
    <row r="69" spans="1:7" x14ac:dyDescent="0.2">
      <c r="A69" s="6" t="s">
        <v>256</v>
      </c>
      <c r="B69" s="33" t="s">
        <v>224</v>
      </c>
      <c r="C69" s="25" t="s">
        <v>257</v>
      </c>
      <c r="D69" s="26">
        <v>5.1999999999999998E-2</v>
      </c>
      <c r="E69" s="26">
        <v>0.1041</v>
      </c>
      <c r="F69" s="26">
        <v>7.8049999999999994E-2</v>
      </c>
      <c r="G69" s="27">
        <v>2.5000000000000001E-2</v>
      </c>
    </row>
    <row r="70" spans="1:7" x14ac:dyDescent="0.2">
      <c r="A70" s="6" t="s">
        <v>258</v>
      </c>
      <c r="B70" s="33" t="s">
        <v>224</v>
      </c>
      <c r="C70" s="25" t="s">
        <v>259</v>
      </c>
      <c r="D70" s="26">
        <v>5.1999999999999998E-2</v>
      </c>
      <c r="E70" s="26">
        <v>0.1041</v>
      </c>
      <c r="F70" s="26">
        <v>7.8049999999999994E-2</v>
      </c>
      <c r="G70" s="27">
        <v>2.5000000000000001E-2</v>
      </c>
    </row>
    <row r="71" spans="1:7" x14ac:dyDescent="0.2">
      <c r="A71" s="6" t="s">
        <v>260</v>
      </c>
      <c r="B71" s="33" t="s">
        <v>224</v>
      </c>
      <c r="C71" s="25" t="s">
        <v>261</v>
      </c>
      <c r="D71" s="26">
        <v>0.05</v>
      </c>
      <c r="E71" s="26">
        <v>0.1</v>
      </c>
      <c r="F71" s="26">
        <v>7.5000000000000011E-2</v>
      </c>
      <c r="G71" s="27">
        <v>2.5000000000000001E-2</v>
      </c>
    </row>
    <row r="72" spans="1:7" x14ac:dyDescent="0.2">
      <c r="A72" s="6" t="s">
        <v>262</v>
      </c>
      <c r="B72" s="33" t="s">
        <v>224</v>
      </c>
      <c r="C72" s="25" t="s">
        <v>263</v>
      </c>
      <c r="D72" s="26">
        <v>0.15</v>
      </c>
      <c r="E72" s="26">
        <v>0.3</v>
      </c>
      <c r="F72" s="26">
        <v>0.22500000000000001</v>
      </c>
      <c r="G72" s="27">
        <v>2.5000000000000001E-2</v>
      </c>
    </row>
    <row r="73" spans="1:7" x14ac:dyDescent="0.2">
      <c r="A73" s="6" t="s">
        <v>264</v>
      </c>
      <c r="B73" s="33" t="s">
        <v>224</v>
      </c>
      <c r="C73" s="25" t="s">
        <v>265</v>
      </c>
      <c r="D73" s="26">
        <v>0.104</v>
      </c>
      <c r="E73" s="26">
        <v>0.20830000000000001</v>
      </c>
      <c r="F73" s="26">
        <v>0.15615000000000001</v>
      </c>
      <c r="G73" s="27">
        <v>2.5000000000000001E-2</v>
      </c>
    </row>
    <row r="74" spans="1:7" x14ac:dyDescent="0.2">
      <c r="A74" s="6" t="s">
        <v>266</v>
      </c>
      <c r="B74" s="33" t="s">
        <v>224</v>
      </c>
      <c r="C74" s="25" t="s">
        <v>267</v>
      </c>
      <c r="D74" s="26">
        <v>0.15</v>
      </c>
      <c r="E74" s="26">
        <v>0.3</v>
      </c>
      <c r="F74" s="26">
        <v>0.22500000000000001</v>
      </c>
      <c r="G74" s="27">
        <v>2.5000000000000001E-2</v>
      </c>
    </row>
    <row r="75" spans="1:7" x14ac:dyDescent="0.2">
      <c r="A75" s="6" t="s">
        <v>268</v>
      </c>
      <c r="B75" s="33" t="s">
        <v>224</v>
      </c>
      <c r="C75" s="25" t="s">
        <v>269</v>
      </c>
      <c r="D75" s="26">
        <v>5.1999999999999998E-2</v>
      </c>
      <c r="E75" s="26">
        <v>0.1041</v>
      </c>
      <c r="F75" s="26">
        <v>7.8049999999999994E-2</v>
      </c>
      <c r="G75" s="27">
        <v>2.5000000000000001E-2</v>
      </c>
    </row>
    <row r="76" spans="1:7" x14ac:dyDescent="0.2">
      <c r="A76" s="6" t="s">
        <v>270</v>
      </c>
      <c r="B76" s="33" t="s">
        <v>224</v>
      </c>
      <c r="C76" s="25" t="s">
        <v>271</v>
      </c>
      <c r="D76" s="26">
        <v>1.7000000000000001E-2</v>
      </c>
      <c r="E76" s="26">
        <v>3.4700000000000002E-2</v>
      </c>
      <c r="F76" s="26">
        <v>2.5850000000000001E-2</v>
      </c>
      <c r="G76" s="27">
        <v>2.5000000000000001E-2</v>
      </c>
    </row>
    <row r="77" spans="1:7" x14ac:dyDescent="0.2">
      <c r="A77" s="6" t="s">
        <v>165</v>
      </c>
      <c r="B77" s="33" t="s">
        <v>224</v>
      </c>
      <c r="C77" s="25" t="s">
        <v>272</v>
      </c>
      <c r="D77" s="26">
        <v>0.15</v>
      </c>
      <c r="E77" s="26">
        <v>0.3</v>
      </c>
      <c r="F77" s="26">
        <v>0.22500000000000001</v>
      </c>
      <c r="G77" s="27">
        <v>2.5000000000000001E-2</v>
      </c>
    </row>
    <row r="78" spans="1:7" x14ac:dyDescent="0.2">
      <c r="A78" s="6" t="s">
        <v>167</v>
      </c>
      <c r="B78" s="33" t="s">
        <v>224</v>
      </c>
      <c r="C78" s="25" t="s">
        <v>273</v>
      </c>
      <c r="D78" s="26">
        <v>0.15</v>
      </c>
      <c r="E78" s="26">
        <v>0.3</v>
      </c>
      <c r="F78" s="26">
        <v>0.22500000000000001</v>
      </c>
      <c r="G78" s="27">
        <v>2.5000000000000001E-2</v>
      </c>
    </row>
    <row r="79" spans="1:7" x14ac:dyDescent="0.2">
      <c r="A79" s="6" t="s">
        <v>171</v>
      </c>
      <c r="B79" s="33" t="s">
        <v>224</v>
      </c>
      <c r="C79" s="25" t="s">
        <v>274</v>
      </c>
      <c r="D79" s="26">
        <v>0.15</v>
      </c>
      <c r="E79" s="26">
        <v>0.3</v>
      </c>
      <c r="F79" s="26">
        <v>0.22500000000000001</v>
      </c>
      <c r="G79" s="27">
        <v>2.5000000000000001E-2</v>
      </c>
    </row>
    <row r="80" spans="1:7" x14ac:dyDescent="0.2">
      <c r="A80" s="6" t="s">
        <v>275</v>
      </c>
      <c r="B80" s="33" t="s">
        <v>224</v>
      </c>
      <c r="C80" s="25" t="s">
        <v>276</v>
      </c>
      <c r="D80" s="26">
        <v>0.15</v>
      </c>
      <c r="E80" s="26">
        <v>0.3</v>
      </c>
      <c r="F80" s="26">
        <v>0.22500000000000001</v>
      </c>
      <c r="G80" s="27">
        <v>2.5000000000000001E-2</v>
      </c>
    </row>
    <row r="81" spans="1:7" x14ac:dyDescent="0.2">
      <c r="A81" s="6" t="s">
        <v>177</v>
      </c>
      <c r="B81" s="33" t="s">
        <v>224</v>
      </c>
      <c r="C81" s="25" t="s">
        <v>277</v>
      </c>
      <c r="D81" s="26">
        <v>5.1999999999999998E-2</v>
      </c>
      <c r="E81" s="26">
        <v>0.1041</v>
      </c>
      <c r="F81" s="26">
        <v>7.8049999999999994E-2</v>
      </c>
      <c r="G81" s="27">
        <v>2.5000000000000001E-2</v>
      </c>
    </row>
    <row r="82" spans="1:7" x14ac:dyDescent="0.2">
      <c r="A82" s="6" t="s">
        <v>183</v>
      </c>
      <c r="B82" s="33" t="s">
        <v>224</v>
      </c>
      <c r="C82" s="25" t="s">
        <v>278</v>
      </c>
      <c r="D82" s="26">
        <v>0.15</v>
      </c>
      <c r="E82" s="26">
        <v>0.3</v>
      </c>
      <c r="F82" s="26">
        <v>0.22500000000000001</v>
      </c>
      <c r="G82" s="27">
        <v>2.5000000000000001E-2</v>
      </c>
    </row>
    <row r="83" spans="1:7" x14ac:dyDescent="0.2">
      <c r="A83" s="6" t="s">
        <v>185</v>
      </c>
      <c r="B83" s="33" t="s">
        <v>224</v>
      </c>
      <c r="C83" s="25" t="s">
        <v>279</v>
      </c>
      <c r="D83" s="26">
        <v>0.05</v>
      </c>
      <c r="E83" s="26">
        <v>0.1</v>
      </c>
      <c r="F83" s="26">
        <v>7.5000000000000011E-2</v>
      </c>
      <c r="G83" s="27">
        <v>2.5000000000000001E-2</v>
      </c>
    </row>
    <row r="84" spans="1:7" x14ac:dyDescent="0.2">
      <c r="A84" s="6" t="s">
        <v>187</v>
      </c>
      <c r="B84" s="33" t="s">
        <v>224</v>
      </c>
      <c r="C84" s="25" t="s">
        <v>280</v>
      </c>
      <c r="D84" s="26">
        <v>5.1999999999999998E-2</v>
      </c>
      <c r="E84" s="26">
        <v>0.1041</v>
      </c>
      <c r="F84" s="26">
        <v>7.8049999999999994E-2</v>
      </c>
      <c r="G84" s="27">
        <v>2.5000000000000001E-2</v>
      </c>
    </row>
    <row r="85" spans="1:7" x14ac:dyDescent="0.2">
      <c r="A85" s="6" t="s">
        <v>281</v>
      </c>
      <c r="B85" s="33" t="s">
        <v>224</v>
      </c>
      <c r="C85" s="25" t="s">
        <v>282</v>
      </c>
      <c r="D85" s="26">
        <v>0.15</v>
      </c>
      <c r="E85" s="26">
        <v>0.3</v>
      </c>
      <c r="F85" s="26">
        <v>0.22500000000000001</v>
      </c>
      <c r="G85" s="27">
        <v>2.5000000000000001E-2</v>
      </c>
    </row>
    <row r="86" spans="1:7" x14ac:dyDescent="0.2">
      <c r="A86" s="6" t="s">
        <v>283</v>
      </c>
      <c r="B86" s="33" t="s">
        <v>224</v>
      </c>
      <c r="C86" s="25" t="s">
        <v>284</v>
      </c>
      <c r="D86" s="26">
        <v>0.15</v>
      </c>
      <c r="E86" s="26">
        <v>0.3</v>
      </c>
      <c r="F86" s="26">
        <v>0.22500000000000001</v>
      </c>
      <c r="G86" s="27">
        <v>2.5000000000000001E-2</v>
      </c>
    </row>
    <row r="87" spans="1:7" x14ac:dyDescent="0.2">
      <c r="A87" s="6" t="s">
        <v>285</v>
      </c>
      <c r="B87" s="33" t="s">
        <v>224</v>
      </c>
      <c r="C87" s="25" t="s">
        <v>286</v>
      </c>
      <c r="D87" s="26">
        <v>0.05</v>
      </c>
      <c r="E87" s="26">
        <v>0.1</v>
      </c>
      <c r="F87" s="26">
        <v>7.5000000000000011E-2</v>
      </c>
      <c r="G87" s="27">
        <v>2.5000000000000001E-2</v>
      </c>
    </row>
    <row r="88" spans="1:7" x14ac:dyDescent="0.2">
      <c r="A88" s="6" t="s">
        <v>193</v>
      </c>
      <c r="B88" s="33" t="s">
        <v>224</v>
      </c>
      <c r="C88" s="25" t="s">
        <v>287</v>
      </c>
      <c r="D88" s="26">
        <v>0.15</v>
      </c>
      <c r="E88" s="26">
        <v>0.3</v>
      </c>
      <c r="F88" s="26">
        <v>0.22500000000000001</v>
      </c>
      <c r="G88" s="27">
        <v>2.5000000000000001E-2</v>
      </c>
    </row>
    <row r="89" spans="1:7" x14ac:dyDescent="0.2">
      <c r="A89" s="6" t="s">
        <v>288</v>
      </c>
      <c r="B89" s="33" t="s">
        <v>224</v>
      </c>
      <c r="C89" s="25" t="s">
        <v>289</v>
      </c>
      <c r="D89" s="26">
        <v>0.15</v>
      </c>
      <c r="E89" s="26">
        <v>0.3</v>
      </c>
      <c r="F89" s="26">
        <v>0.22500000000000001</v>
      </c>
      <c r="G89" s="27">
        <v>2.5000000000000001E-2</v>
      </c>
    </row>
    <row r="90" spans="1:7" x14ac:dyDescent="0.2">
      <c r="A90" s="6" t="s">
        <v>195</v>
      </c>
      <c r="B90" s="33" t="s">
        <v>224</v>
      </c>
      <c r="C90" s="25" t="s">
        <v>290</v>
      </c>
      <c r="D90" s="26">
        <v>5.1999999999999998E-2</v>
      </c>
      <c r="E90" s="26">
        <v>0.1041</v>
      </c>
      <c r="F90" s="26">
        <v>7.8049999999999994E-2</v>
      </c>
      <c r="G90" s="27">
        <v>2.5000000000000001E-2</v>
      </c>
    </row>
    <row r="91" spans="1:7" x14ac:dyDescent="0.2">
      <c r="A91" s="6" t="s">
        <v>201</v>
      </c>
      <c r="B91" s="33" t="s">
        <v>224</v>
      </c>
      <c r="C91" s="25" t="s">
        <v>291</v>
      </c>
      <c r="D91" s="26">
        <v>0.05</v>
      </c>
      <c r="E91" s="26">
        <v>0.1</v>
      </c>
      <c r="F91" s="26">
        <v>7.5000000000000011E-2</v>
      </c>
      <c r="G91" s="27">
        <v>2.5000000000000001E-2</v>
      </c>
    </row>
    <row r="92" spans="1:7" x14ac:dyDescent="0.2">
      <c r="A92" s="6" t="s">
        <v>203</v>
      </c>
      <c r="B92" s="33" t="s">
        <v>224</v>
      </c>
      <c r="C92" s="25" t="s">
        <v>292</v>
      </c>
      <c r="D92" s="26">
        <v>0.15</v>
      </c>
      <c r="E92" s="26">
        <v>0.3</v>
      </c>
      <c r="F92" s="26">
        <v>0.22500000000000001</v>
      </c>
      <c r="G92" s="27">
        <v>2.5000000000000001E-2</v>
      </c>
    </row>
    <row r="93" spans="1:7" x14ac:dyDescent="0.2">
      <c r="A93" s="6" t="s">
        <v>209</v>
      </c>
      <c r="B93" s="33" t="s">
        <v>224</v>
      </c>
      <c r="C93" s="25" t="s">
        <v>293</v>
      </c>
      <c r="D93" s="26">
        <v>0.15</v>
      </c>
      <c r="E93" s="26">
        <v>0.3</v>
      </c>
      <c r="F93" s="26">
        <v>0.22500000000000001</v>
      </c>
      <c r="G93" s="27">
        <v>2.5000000000000001E-2</v>
      </c>
    </row>
    <row r="94" spans="1:7" x14ac:dyDescent="0.2">
      <c r="A94" s="6" t="s">
        <v>294</v>
      </c>
      <c r="B94" s="33" t="s">
        <v>224</v>
      </c>
      <c r="C94" s="25" t="s">
        <v>295</v>
      </c>
      <c r="D94" s="26">
        <v>0.15</v>
      </c>
      <c r="E94" s="26">
        <v>0.3</v>
      </c>
      <c r="F94" s="26">
        <v>0.22500000000000001</v>
      </c>
      <c r="G94" s="27">
        <v>2.5000000000000001E-2</v>
      </c>
    </row>
    <row r="95" spans="1:7" x14ac:dyDescent="0.2">
      <c r="A95" s="6" t="s">
        <v>213</v>
      </c>
      <c r="B95" s="33" t="s">
        <v>224</v>
      </c>
      <c r="C95" s="25" t="s">
        <v>296</v>
      </c>
      <c r="D95" s="26">
        <v>0.15</v>
      </c>
      <c r="E95" s="26">
        <v>0.3</v>
      </c>
      <c r="F95" s="26">
        <v>0.22500000000000001</v>
      </c>
      <c r="G95" s="27">
        <v>2.5000000000000001E-2</v>
      </c>
    </row>
    <row r="96" spans="1:7" x14ac:dyDescent="0.2">
      <c r="A96" s="6" t="s">
        <v>217</v>
      </c>
      <c r="B96" s="33" t="s">
        <v>224</v>
      </c>
      <c r="C96" s="25" t="s">
        <v>297</v>
      </c>
      <c r="D96" s="26">
        <v>0.05</v>
      </c>
      <c r="E96" s="26">
        <v>0.1</v>
      </c>
      <c r="F96" s="26">
        <v>7.5000000000000011E-2</v>
      </c>
      <c r="G96" s="27">
        <v>2.5000000000000001E-2</v>
      </c>
    </row>
    <row r="97" spans="1:7" x14ac:dyDescent="0.2">
      <c r="A97" s="6" t="s">
        <v>219</v>
      </c>
      <c r="B97" s="33" t="s">
        <v>224</v>
      </c>
      <c r="C97" s="25" t="s">
        <v>298</v>
      </c>
      <c r="D97" s="26">
        <v>5.1999999999999998E-2</v>
      </c>
      <c r="E97" s="26">
        <v>0.1041</v>
      </c>
      <c r="F97" s="26">
        <v>7.8049999999999994E-2</v>
      </c>
      <c r="G97" s="27">
        <v>2.5000000000000001E-2</v>
      </c>
    </row>
    <row r="98" spans="1:7" x14ac:dyDescent="0.2">
      <c r="A98" s="6" t="s">
        <v>299</v>
      </c>
      <c r="B98" s="33" t="s">
        <v>224</v>
      </c>
      <c r="C98" s="25" t="s">
        <v>300</v>
      </c>
      <c r="D98" s="26">
        <v>0.05</v>
      </c>
      <c r="E98" s="26">
        <v>0.1</v>
      </c>
      <c r="F98" s="26">
        <v>7.5000000000000011E-2</v>
      </c>
      <c r="G98" s="27">
        <v>2.5000000000000001E-2</v>
      </c>
    </row>
    <row r="99" spans="1:7" x14ac:dyDescent="0.2">
      <c r="A99" s="6" t="s">
        <v>301</v>
      </c>
      <c r="B99" s="33" t="s">
        <v>224</v>
      </c>
      <c r="C99" s="25" t="s">
        <v>302</v>
      </c>
      <c r="D99" s="26">
        <v>0.15</v>
      </c>
      <c r="E99" s="26">
        <v>0.3</v>
      </c>
      <c r="F99" s="26">
        <v>0.22500000000000001</v>
      </c>
      <c r="G99" s="27">
        <v>2.5000000000000001E-2</v>
      </c>
    </row>
    <row r="100" spans="1:7" x14ac:dyDescent="0.2">
      <c r="A100" s="6" t="s">
        <v>303</v>
      </c>
      <c r="B100" s="29" t="s">
        <v>113</v>
      </c>
      <c r="C100" s="25" t="s">
        <v>304</v>
      </c>
      <c r="D100" s="32" t="s">
        <v>123</v>
      </c>
      <c r="E100" s="32" t="s">
        <v>123</v>
      </c>
      <c r="F100" s="32" t="s">
        <v>123</v>
      </c>
      <c r="G100" s="27">
        <v>2.5000000000000001E-2</v>
      </c>
    </row>
    <row r="101" spans="1:7" x14ac:dyDescent="0.2">
      <c r="A101" s="6" t="s">
        <v>305</v>
      </c>
      <c r="B101" s="29" t="s">
        <v>113</v>
      </c>
      <c r="C101" s="25" t="s">
        <v>306</v>
      </c>
      <c r="D101" s="32" t="s">
        <v>123</v>
      </c>
      <c r="E101" s="32" t="s">
        <v>123</v>
      </c>
      <c r="F101" s="32" t="s">
        <v>123</v>
      </c>
      <c r="G101" s="27">
        <v>2.5000000000000001E-2</v>
      </c>
    </row>
  </sheetData>
  <autoFilter ref="A3:G101" xr:uid="{00000000-0009-0000-0000-000002000000}"/>
  <mergeCells count="3">
    <mergeCell ref="I3:K3"/>
    <mergeCell ref="A2:G2"/>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8"/>
  <sheetViews>
    <sheetView workbookViewId="0">
      <selection sqref="A1:B1"/>
    </sheetView>
  </sheetViews>
  <sheetFormatPr baseColWidth="10" defaultColWidth="8.83203125" defaultRowHeight="15" x14ac:dyDescent="0.2"/>
  <cols>
    <col min="1" max="1" width="55" customWidth="1"/>
    <col min="2" max="2" width="95" customWidth="1"/>
  </cols>
  <sheetData>
    <row r="1" spans="1:2" ht="28" customHeight="1" x14ac:dyDescent="0.25">
      <c r="A1" s="52" t="s">
        <v>307</v>
      </c>
      <c r="B1" s="36"/>
    </row>
    <row r="3" spans="1:2" x14ac:dyDescent="0.2">
      <c r="A3" s="18" t="s">
        <v>308</v>
      </c>
      <c r="B3" s="18" t="s">
        <v>309</v>
      </c>
    </row>
    <row r="4" spans="1:2" x14ac:dyDescent="0.2">
      <c r="A4" s="6" t="s">
        <v>310</v>
      </c>
      <c r="B4" s="34" t="s">
        <v>311</v>
      </c>
    </row>
    <row r="5" spans="1:2" x14ac:dyDescent="0.2">
      <c r="A5" s="6" t="s">
        <v>312</v>
      </c>
      <c r="B5" s="34" t="s">
        <v>313</v>
      </c>
    </row>
    <row r="6" spans="1:2" x14ac:dyDescent="0.2">
      <c r="A6" s="6" t="s">
        <v>314</v>
      </c>
      <c r="B6" s="34" t="s">
        <v>315</v>
      </c>
    </row>
    <row r="7" spans="1:2" x14ac:dyDescent="0.2">
      <c r="A7" s="6" t="s">
        <v>316</v>
      </c>
      <c r="B7" s="34" t="s">
        <v>317</v>
      </c>
    </row>
    <row r="8" spans="1:2" x14ac:dyDescent="0.2">
      <c r="A8" s="6" t="s">
        <v>318</v>
      </c>
      <c r="B8" s="6" t="s">
        <v>319</v>
      </c>
    </row>
    <row r="11" spans="1:2" ht="140" customHeight="1" x14ac:dyDescent="0.2">
      <c r="A11" s="51" t="s">
        <v>320</v>
      </c>
      <c r="B11" s="36"/>
    </row>
    <row r="12" spans="1:2" x14ac:dyDescent="0.2">
      <c r="A12" s="36"/>
      <c r="B12" s="36"/>
    </row>
    <row r="13" spans="1:2" x14ac:dyDescent="0.2">
      <c r="A13" s="36"/>
      <c r="B13" s="36"/>
    </row>
    <row r="14" spans="1:2" x14ac:dyDescent="0.2">
      <c r="A14" s="36"/>
      <c r="B14" s="36"/>
    </row>
    <row r="15" spans="1:2" x14ac:dyDescent="0.2">
      <c r="A15" s="36"/>
      <c r="B15" s="36"/>
    </row>
    <row r="16" spans="1:2" x14ac:dyDescent="0.2">
      <c r="A16" s="36"/>
      <c r="B16" s="36"/>
    </row>
    <row r="17" spans="1:2" x14ac:dyDescent="0.2">
      <c r="A17" s="36"/>
      <c r="B17" s="36"/>
    </row>
    <row r="18" spans="1:2" x14ac:dyDescent="0.2">
      <c r="A18" s="36"/>
      <c r="B18" s="36"/>
    </row>
  </sheetData>
  <mergeCells count="2">
    <mergeCell ref="A11:B18"/>
    <mergeCell ref="A1:B1"/>
  </mergeCells>
  <hyperlinks>
    <hyperlink ref="B4" r:id="rId1" xr:uid="{00000000-0004-0000-0300-000000000000}"/>
    <hyperlink ref="B5" r:id="rId2" xr:uid="{00000000-0004-0000-0300-000001000000}"/>
    <hyperlink ref="B6" r:id="rId3" xr:uid="{00000000-0004-0000-0300-000002000000}"/>
    <hyperlink ref="B7" r:id="rId4" xr:uid="{00000000-0004-0000-0300-00000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Calculadora</vt:lpstr>
      <vt:lpstr>Guía de opciones</vt:lpstr>
      <vt:lpstr>Tarifas oficiales</vt:lpstr>
      <vt:lpstr>Referencias</vt:lpstr>
      <vt:lpstr>Calculadora!Print_Titles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asuaiv0</cp:lastModifiedBy>
  <dcterms:created xsi:type="dcterms:W3CDTF">2026-08-17T17:40:26Z</dcterms:created>
  <dcterms:modified xsi:type="dcterms:W3CDTF">2026-08-28T03:51:01Z</dcterms:modified>
</cp:coreProperties>
</file>